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5014c3000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Register" sheetId="1" r:id="Rb5fcfb1626544eb8"/>
    <x:sheet xmlns:r="http://schemas.openxmlformats.org/officeDocument/2006/relationships" name="Objectives &amp; KPIs" sheetId="2" r:id="R51f32c072bbb4ce5"/>
    <x:sheet xmlns:r="http://schemas.openxmlformats.org/officeDocument/2006/relationships" name="Traceability Matrix" sheetId="3" r:id="Rc8e728d319a84a54"/>
    <x:sheet xmlns:r="http://schemas.openxmlformats.org/officeDocument/2006/relationships" name="User Stories" sheetId="4" r:id="Rec54346b194c4dc9"/>
    <x:sheet xmlns:r="http://schemas.openxmlformats.org/officeDocument/2006/relationships" name="Business Rules" sheetId="5" r:id="Ree441fa2350b46a6"/>
    <x:sheet xmlns:r="http://schemas.openxmlformats.org/officeDocument/2006/relationships" name="Open Issues" sheetId="6" r:id="R7eab6329f79b4661"/>
    <x:sheet xmlns:r="http://schemas.openxmlformats.org/officeDocument/2006/relationships" name="Overview" sheetId="7" r:id="R90f14ca16939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&quot;x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F2F7FB"/>
      </x:patternFill>
    </x:fill>
    <x:fill>
      <x:patternFill patternType="solid">
        <x:fgColor rgb="FF007C91"/>
      </x:patternFill>
    </x:fill>
    <x:fill>
      <x:patternFill patternType="solid">
        <x:fgColor rgb="FFE5F5F6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>
          <x:bgColor rgb="FFFFF4CC"/>
        </x:patternFill>
      </x:fill>
    </x:dxf>
    <x:dxf>
      <x:fill>
        <x:patternFill>
          <x:bgColor rgb="FFDCEAF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FF4CC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ill>
        <x:patternFill>
          <x:bgColor rgb="FFFCE8D5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2a79a37c04396" /><Relationship Type="http://schemas.openxmlformats.org/officeDocument/2006/relationships/theme" Target="/xl/theme/theme1.xml" Id="R04370fe048b047a3" /><Relationship Type="http://schemas.openxmlformats.org/officeDocument/2006/relationships/sharedStrings" Target="/xl/sharedStrings.xml" Id="R5c50f169ea5445b7" /><Relationship Type="http://schemas.openxmlformats.org/officeDocument/2006/relationships/worksheet" Target="/xl/worksheets/sheet1.xml" Id="Rb5fcfb1626544eb8" /><Relationship Type="http://schemas.openxmlformats.org/officeDocument/2006/relationships/worksheet" Target="/xl/worksheets/sheet2.xml" Id="R51f32c072bbb4ce5" /><Relationship Type="http://schemas.openxmlformats.org/officeDocument/2006/relationships/worksheet" Target="/xl/worksheets/sheet3.xml" Id="Rc8e728d319a84a54" /><Relationship Type="http://schemas.openxmlformats.org/officeDocument/2006/relationships/worksheet" Target="/xl/worksheets/sheet4.xml" Id="Rec54346b194c4dc9" /><Relationship Type="http://schemas.openxmlformats.org/officeDocument/2006/relationships/worksheet" Target="/xl/worksheets/sheet5.xml" Id="Ree441fa2350b46a6" /><Relationship Type="http://schemas.openxmlformats.org/officeDocument/2006/relationships/worksheet" Target="/xl/worksheets/sheet6.xml" Id="R7eab6329f79b4661" /><Relationship Type="http://schemas.openxmlformats.org/officeDocument/2006/relationships/worksheet" Target="/xl/worksheets/sheet7.xml" Id="R90f14ca16939472b" /></Relationships>
</file>

<file path=xl/tables/table1.xml><?xml version="1.0" encoding="utf-8"?>
<x:table xmlns:x="http://schemas.openxmlformats.org/spreadsheetml/2006/main" id="1" name="BVDRSRequirements" displayName="BVDRSRequirements" ref="A4:K60" headerRowCount="1" totalsRowCount="0" totalsRowShown="0">
  <x:tableColumns count="11">
    <x:tableColumn id="1" name="Requirement ID"/>
    <x:tableColumn id="2" name="Module"/>
    <x:tableColumn id="3" name="Description / Requirement"/>
    <x:tableColumn id="4" name="Type (F/NF)"/>
    <x:tableColumn id="5" name="Priority"/>
    <x:tableColumn id="6" name="Source / Stakeholder / Basis"/>
    <x:tableColumn id="7" name="Acceptance Criteria / Verification"/>
    <x:tableColumn id="8" name="Status"/>
    <x:tableColumn id="9" name="Related Objective(s)"/>
    <x:tableColumn id="10" name="Open Issue(s)"/>
    <x:tableColumn id="11" name="BA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VDRSObjectives" displayName="BVDRSObjectives" ref="A4:F11" headerRowCount="1" totalsRowCount="0" totalsRowShown="0">
  <x:tableColumns count="6">
    <x:tableColumn id="1" name="Objective ID"/>
    <x:tableColumn id="2" name="Business Objective"/>
    <x:tableColumn id="3" name="Baseline / Current Situation"/>
    <x:tableColumn id="4" name="Stakeholder Statement / Evidence"/>
    <x:tableColumn id="5" name="KPI / Target Treatment"/>
    <x:tableColumn id="6" name="Open Issue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VDRSTraceability" displayName="BVDRSTraceability" ref="A4:J30" headerRowCount="1" totalsRowCount="0" totalsRowShown="0">
  <x:tableColumns count="10">
    <x:tableColumn id="1" name="Trace ID"/>
    <x:tableColumn id="2" name="Requirement ID"/>
    <x:tableColumn id="3" name="Objective ID"/>
    <x:tableColumn id="4" name="Business Objective"/>
    <x:tableColumn id="5" name="Stakeholder / Source"/>
    <x:tableColumn id="6" name="Stakeholder Statement / Evidence"/>
    <x:tableColumn id="7" name="Traceability Rationale"/>
    <x:tableColumn id="8" name="Source Reference"/>
    <x:tableColumn id="9" name="Relationship Status"/>
    <x:tableColumn id="10" name="Open Issue(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VDRSUserStories" displayName="BVDRSUserStories" ref="A4:I9" headerRowCount="1" totalsRowCount="0" totalsRowShown="0">
  <x:tableColumns count="9">
    <x:tableColumn id="1" name="Story ID"/>
    <x:tableColumn id="2" name="Title"/>
    <x:tableColumn id="3" name="User Story (As a / I want / So that)"/>
    <x:tableColumn id="4" name="Given"/>
    <x:tableColumn id="5" name="When"/>
    <x:tableColumn id="6" name="Then"/>
    <x:tableColumn id="7" name="Linked Requirements"/>
    <x:tableColumn id="8" name="Status / Dependency"/>
    <x:tableColumn id="9" name="Primary Act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VDRSBusinessRules" displayName="BVDRSBusinessRules" ref="A4:F20" headerRowCount="1" totalsRowCount="0" totalsRowShown="0">
  <x:tableColumns count="6">
    <x:tableColumn id="1" name="Rule ID"/>
    <x:tableColumn id="2" name="Rule Name"/>
    <x:tableColumn id="3" name="Rule Statement"/>
    <x:tableColumn id="4" name="Evidence / Authority"/>
    <x:tableColumn id="5" name="Status"/>
    <x:tableColumn id="6" name="Open Issue(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VDRSOpenIssues" displayName="BVDRSOpenIssues" ref="A4:I16" headerRowCount="1" totalsRowCount="0" totalsRowShown="0">
  <x:tableColumns count="9">
    <x:tableColumn id="1" name="Issue ID"/>
    <x:tableColumn id="2" name="Topic"/>
    <x:tableColumn id="3" name="Decision Required"/>
    <x:tableColumn id="4" name="Why It Matters / Impact"/>
    <x:tableColumn id="5" name="Decision Owner(s)"/>
    <x:tableColumn id="6" name="Priority"/>
    <x:tableColumn id="7" name="Status"/>
    <x:tableColumn id="8" name="Affected Requirements / Objectives"/>
    <x:tableColumn id="9" name="Interim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d3b6339e5041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836613eb8e4c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3f5cca02d84d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de3165b62e44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44074cf2b74a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253733529a4200" /></Relationships>
</file>

<file path=xl/worksheets/sheet1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31" hidden="0" customWidth="1"/>
    <x:col min="3" max="3" width="54" hidden="0" customWidth="1"/>
    <x:col min="4" max="4" width="12" hidden="0" customWidth="1"/>
    <x:col min="5" max="5" width="24" hidden="0" customWidth="1"/>
    <x:col min="6" max="6" width="38" hidden="0" customWidth="1"/>
    <x:col min="7" max="7" width="54" hidden="0" customWidth="1"/>
    <x:col min="8" max="8" width="27" hidden="0" customWidth="1"/>
    <x:col min="9" max="9" width="22" hidden="0" customWidth="1"/>
    <x:col min="10" max="10" width="18" hidden="0" customWidth="1"/>
    <x:col min="11" max="11" width="34" hidden="0" customWidth="1"/>
  </x:cols>
  <x:sheetData>
    <x:row r="1" ht="32" customHeight="1">
      <x:c r="A1" s="5" t="str">
        <x:v>BVDRS | Requirements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4" t="str">
        <x:v>Authoritative working register for the assessment. F = Functional; NF = Non-functional. NFR priorities are provisional BA recommendations (Must/Should/Could), not stakeholder approvals; numeric targets and conditional designs remain subject to validation. Sources distinguish assessment evidence from proposed controls.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6" customHeight="1">
      <x:c r="A4" s="24" t="str">
        <x:v>Requirement ID</x:v>
      </x:c>
      <x:c r="B4" s="24" t="str">
        <x:v>Module</x:v>
      </x:c>
      <x:c r="C4" s="24" t="str">
        <x:v>Description / Requirement</x:v>
      </x:c>
      <x:c r="D4" s="24" t="str">
        <x:v>Type (F/NF)</x:v>
      </x:c>
      <x:c r="E4" s="24" t="str">
        <x:v>Priority</x:v>
      </x:c>
      <x:c r="F4" s="24" t="str">
        <x:v>Source / Stakeholder / Basis</x:v>
      </x:c>
      <x:c r="G4" s="24" t="str">
        <x:v>Acceptance Criteria / Verification</x:v>
      </x:c>
      <x:c r="H4" s="24" t="str">
        <x:v>Status</x:v>
      </x:c>
      <x:c r="I4" s="24" t="str">
        <x:v>Related Objective(s)</x:v>
      </x:c>
      <x:c r="J4" s="24" t="str">
        <x:v>Open Issue(s)</x:v>
      </x:c>
      <x:c r="K4" s="24" t="str">
        <x:v>BA Notes</x:v>
      </x:c>
    </x:row>
    <x:row r="5" ht="54" customHeight="1">
      <x:c r="A5" s="56" t="str">
        <x:v>FR-DET-001</x:v>
      </x:c>
      <x:c r="B5" s="56" t="str">
        <x:v>Imagery ingestion &amp; candidate detection</x:v>
      </x:c>
      <x:c r="C5" s="56" t="str">
        <x:v>Register each imagery delivery with source, acquisition date, resolution, coverage, coordinate reference, and import outcome.</x:v>
      </x:c>
      <x:c r="D5" s="56" t="str">
        <x:v>F</x:v>
      </x:c>
      <x:c r="E5" s="56" t="str">
        <x:v>Must</x:v>
      </x:c>
      <x:c r="F5" s="56" t="str">
        <x:v>Assessment §2.2.A — quarterly 50 cm imagery and manual comparison; proposed control to register image provenance. Weekly imagery is not assumed.</x:v>
      </x:c>
      <x:c r="G5" s="56" t="str">
        <x:v>The register shows these fields for every imported scene and records a validation failure where required metadata is absent.</x:v>
      </x:c>
      <x:c r="H5" s="56" t="str">
        <x:v>Proposed</x:v>
      </x:c>
      <x:c r="I5" s="56" t="str">
        <x:v>BO-01</x:v>
      </x:c>
      <x:c r="J5" s="56" t="str">
        <x:v>—</x:v>
      </x:c>
      <x:c r="K5" s="56" t="str"/>
    </x:row>
    <x:row r="6" ht="54" customHeight="1">
      <x:c r="A6" s="56" t="str">
        <x:v>FR-DET-002</x:v>
      </x:c>
      <x:c r="B6" s="56" t="str">
        <x:v>Imagery ingestion &amp; candidate detection</x:v>
      </x:c>
      <x:c r="C6" s="56" t="str">
        <x:v>Validate the submitted image file and basic metadata before adding it to the accepted comparison baseline.</x:v>
      </x:c>
      <x:c r="D6" s="56" t="str">
        <x:v>F</x:v>
      </x:c>
      <x:c r="E6" s="56" t="str">
        <x:v>Must</x:v>
      </x:c>
      <x:c r="F6" s="56" t="str">
        <x:v>Assessment §2.2.A — imagery comparison is currently manual; proposed pre-ingestion validation is a data-quality control, not an existing capability.</x:v>
      </x:c>
      <x:c r="G6" s="56" t="str">
        <x:v>A user can see rejected/accepted status and a reason; a rejected image cannot silently replace the prior baseline.</x:v>
      </x:c>
      <x:c r="H6" s="56" t="str">
        <x:v>Proposed</x:v>
      </x:c>
      <x:c r="I6" s="56" t="str">
        <x:v>BO-01</x:v>
      </x:c>
      <x:c r="J6" s="56" t="str">
        <x:v>—</x:v>
      </x:c>
      <x:c r="K6" s="56" t="str"/>
    </x:row>
    <x:row r="7" ht="54" customHeight="1">
      <x:c r="A7" s="56" t="str">
        <x:v>FR-DET-003</x:v>
      </x:c>
      <x:c r="B7" s="56" t="str">
        <x:v>Imagery ingestion &amp; candidate detection</x:v>
      </x:c>
      <x:c r="C7" s="56" t="str">
        <x:v>Support comparison of an accepted image with a selected earlier image to identify candidate changes.</x:v>
      </x:c>
      <x:c r="D7" s="56" t="str">
        <x:v>F</x:v>
      </x:c>
      <x:c r="E7" s="56" t="str">
        <x:v>Should</x:v>
      </x:c>
      <x:c r="F7" s="56" t="str">
        <x:v>Eng. Hesham requests automated detection; Eng. Ahmed identifies quarterly imagery and contract/budget constraints (Assessment §§2.2.A, 2.5). Automation is proposed; cadence/SLA remain unresolved.</x:v>
      </x:c>
      <x:c r="G7" s="56" t="str">
        <x:v>The analyst can choose the comparison pair and view candidate outputs tied to both source images. No processing-time SLA is assumed.</x:v>
      </x:c>
      <x:c r="H7" s="56" t="str">
        <x:v>Proposed</x:v>
      </x:c>
      <x:c r="I7" s="56" t="str">
        <x:v>BO-01</x:v>
      </x:c>
      <x:c r="J7" s="56" t="str">
        <x:v>—</x:v>
      </x:c>
      <x:c r="K7" s="56" t="str"/>
    </x:row>
    <x:row r="8" ht="54" customHeight="1">
      <x:c r="A8" s="56" t="str">
        <x:v>FR-DET-004</x:v>
      </x:c>
      <x:c r="B8" s="56" t="str">
        <x:v>Imagery ingestion &amp; candidate detection</x:v>
      </x:c>
      <x:c r="C8" s="56" t="str">
        <x:v>Allow GIS analysts to confirm, dismiss, or amend each candidate before it becomes an inspection ticket.</x:v>
      </x:c>
      <x:c r="D8" s="56" t="str">
        <x:v>F</x:v>
      </x:c>
      <x:c r="E8" s="56" t="str">
        <x:v>Must</x:v>
      </x:c>
      <x:c r="F8" s="56" t="str">
        <x:v>Assessment §2.2.A / GIS current practice — analysts identify suspected changes before field dispatch; analyst confirm/dismiss control is proposed.</x:v>
      </x:c>
      <x:c r="G8" s="56" t="str">
        <x:v>Every candidate has a review status, reviewer, timestamp, and retained reason for dismissal/amendment.</x:v>
      </x:c>
      <x:c r="H8" s="56" t="str">
        <x:v>Proposed</x:v>
      </x:c>
      <x:c r="I8" s="56" t="str">
        <x:v>BO-01</x:v>
      </x:c>
      <x:c r="J8" s="56" t="str">
        <x:v>—</x:v>
      </x:c>
      <x:c r="K8" s="56" t="str"/>
    </x:row>
    <x:row r="9" ht="54" customHeight="1">
      <x:c r="A9" s="56" t="str">
        <x:v>FR-DET-005</x:v>
      </x:c>
      <x:c r="B9" s="56" t="str">
        <x:v>Imagery ingestion &amp; candidate detection</x:v>
      </x:c>
      <x:c r="C9" s="56" t="str">
        <x:v>Create an inspection ticket from a confirmed candidate and link it to the source images and map location.</x:v>
      </x:c>
      <x:c r="D9" s="56" t="str">
        <x:v>F</x:v>
      </x:c>
      <x:c r="E9" s="56" t="str">
        <x:v>Must</x:v>
      </x:c>
      <x:c r="F9" s="56" t="str">
        <x:v>Assessment §2.2.A — suspected sites are currently dispatched to engineering offices by paper maps/reports; digital ticket creation is proposed.</x:v>
      </x:c>
      <x:c r="G9" s="56" t="str">
        <x:v>The ticket identifies its source candidate, current status, district/assignment where known, and associated evidence.</x:v>
      </x:c>
      <x:c r="H9" s="56" t="str">
        <x:v>Proposed</x:v>
      </x:c>
      <x:c r="I9" s="56" t="str">
        <x:v>BO-01</x:v>
      </x:c>
      <x:c r="J9" s="56" t="str">
        <x:v>—</x:v>
      </x:c>
      <x:c r="K9" s="56" t="str"/>
    </x:row>
    <x:row r="10" ht="54" customHeight="1">
      <x:c r="A10" s="56" t="str">
        <x:v>FR-FLD-001</x:v>
      </x:c>
      <x:c r="B10" s="56" t="str">
        <x:v>Field inspection &amp; evidence</x:v>
      </x:c>
      <x:c r="C10" s="56" t="str">
        <x:v>Present assigned inspection tickets to the authorised engineer, with the site description and available map evidence.</x:v>
      </x:c>
      <x:c r="D10" s="56" t="str">
        <x:v>F</x:v>
      </x:c>
      <x:c r="E10" s="56" t="str">
        <x:v>Must</x:v>
      </x:c>
      <x:c r="F10" s="56" t="str">
        <x:v>Eng. Mona, Assessment §2.5 — no decision without an engineer site visit; assigned-ticket view is a proposed workflow aid, not an inspection exemption.</x:v>
      </x:c>
      <x:c r="G10" s="56" t="str">
        <x:v>An engineer sees only tickets assigned or otherwise authorised for their role and can open the linked evidence.</x:v>
      </x:c>
      <x:c r="H10" s="56" t="str">
        <x:v>Proposed</x:v>
      </x:c>
      <x:c r="I10" s="56" t="str">
        <x:v>BO-01; BO-03; BO-06</x:v>
      </x:c>
      <x:c r="J10" s="56" t="str">
        <x:v>—</x:v>
      </x:c>
      <x:c r="K10" s="56" t="str"/>
    </x:row>
    <x:row r="11" ht="54" customHeight="1">
      <x:c r="A11" s="56" t="str">
        <x:v>FR-FLD-002</x:v>
      </x:c>
      <x:c r="B11" s="56" t="str">
        <x:v>Field inspection &amp; evidence</x:v>
      </x:c>
      <x:c r="C11" s="56" t="str">
        <x:v>Capture the visit outcome, inspection date, inspector, notes, estimated violating area, and any reason the site could not be located.</x:v>
      </x:c>
      <x:c r="D11" s="56" t="str">
        <x:v>F</x:v>
      </x:c>
      <x:c r="E11" s="56" t="str">
        <x:v>Must</x:v>
      </x:c>
      <x:c r="F11" s="56" t="str">
        <x:v>Assessment §2.2.A — engineers visit sites, write a Mahdar, estimate area and record site findings; structured digital fields are proposed.</x:v>
      </x:c>
      <x:c r="G11" s="56" t="str">
        <x:v>The inspection record cannot be submitted without the approved mandatory fields; an unable-to-locate outcome remains visible as unresolved.</x:v>
      </x:c>
      <x:c r="H11" s="56" t="str">
        <x:v>Proposed</x:v>
      </x:c>
      <x:c r="I11" s="56" t="str">
        <x:v>BO-01; BO-03; BO-06</x:v>
      </x:c>
      <x:c r="J11" s="56" t="str">
        <x:v>—</x:v>
      </x:c>
      <x:c r="K11" s="56" t="str"/>
    </x:row>
    <x:row r="12" ht="54" customHeight="1">
      <x:c r="A12" s="56" t="str">
        <x:v>FR-FLD-003</x:v>
      </x:c>
      <x:c r="B12" s="56" t="str">
        <x:v>Field inspection &amp; evidence</x:v>
      </x:c>
      <x:c r="C12" s="56" t="str">
        <x:v>Allow supporting photographs and documents to be attached to the related ticket with available capture metadata.</x:v>
      </x:c>
      <x:c r="D12" s="56" t="str">
        <x:v>F</x:v>
      </x:c>
      <x:c r="E12" s="56" t="str">
        <x:v>Must</x:v>
      </x:c>
      <x:c r="F12" s="56" t="str">
        <x:v>Assessment §2.2.A — field evidence includes photos taken with personal phones; controlled attachment linkage is proposed. Metadata is recorded only when available.</x:v>
      </x:c>
      <x:c r="G12" s="56" t="str">
        <x:v>Each attachment is linked to a ticket and has an upload/capture timestamp; location metadata is recorded only when available and not fabricated.</x:v>
      </x:c>
      <x:c r="H12" s="56" t="str">
        <x:v>Proposed</x:v>
      </x:c>
      <x:c r="I12" s="56" t="str">
        <x:v>BO-01; BO-03; BO-06</x:v>
      </x:c>
      <x:c r="J12" s="56" t="str">
        <x:v>—</x:v>
      </x:c>
      <x:c r="K12" s="56" t="str"/>
    </x:row>
    <x:row r="13" ht="54" customHeight="1">
      <x:c r="A13" s="56" t="str">
        <x:v>FR-FLD-004</x:v>
      </x:c>
      <x:c r="B13" s="56" t="str">
        <x:v>Field inspection &amp; evidence</x:v>
      </x:c>
      <x:c r="C13" s="56" t="str">
        <x:v>Support saving a field record when connectivity is unavailable and synchronising it after connectivity returns.</x:v>
      </x:c>
      <x:c r="D13" s="56" t="str">
        <x:v>F</x:v>
      </x:c>
      <x:c r="E13" s="56" t="str">
        <x:v>Should</x:v>
      </x:c>
      <x:c r="F13" s="56" t="str">
        <x:v>Mr. Walid / field locations, Assessment §§2.3, 2.5 — village connectivity is unreliable; offline capture is proposed pending technical/security validation.</x:v>
      </x:c>
      <x:c r="G13" s="56" t="str">
        <x:v>An offline test preserves a saved record; a retry does not create a duplicate; sync success/failure is visible.</x:v>
      </x:c>
      <x:c r="H13" s="56" t="str">
        <x:v>Proposed</x:v>
      </x:c>
      <x:c r="I13" s="56" t="str">
        <x:v>BO-01; BO-03; BO-06</x:v>
      </x:c>
      <x:c r="J13" s="56" t="str">
        <x:v>—</x:v>
      </x:c>
      <x:c r="K13" s="56" t="str"/>
    </x:row>
    <x:row r="14" ht="54" customHeight="1">
      <x:c r="A14" s="56" t="str">
        <x:v>FR-FLD-005</x:v>
      </x:c>
      <x:c r="B14" s="56" t="str">
        <x:v>Field inspection &amp; evidence</x:v>
      </x:c>
      <x:c r="C14" s="56" t="str">
        <x:v>Record the central receipt/synchronisation state of each dispatched ticket and its inspection result.</x:v>
      </x:c>
      <x:c r="D14" s="56" t="str">
        <x:v>F</x:v>
      </x:c>
      <x:c r="E14" s="56" t="str">
        <x:v>Must</x:v>
      </x:c>
      <x:c r="F14" s="56" t="str">
        <x:v>Assessment §2.2.A — field reports may not return to GIS and the proportion is unquantified; central receipt/synchronisation status is a proposed control.</x:v>
      </x:c>
      <x:c r="G14" s="56" t="str">
        <x:v>The dashboard identifies completed, outstanding, returned, and sync-failed items; no missing-report rate is assumed.</x:v>
      </x:c>
      <x:c r="H14" s="56" t="str">
        <x:v>Proposed</x:v>
      </x:c>
      <x:c r="I14" s="56" t="str">
        <x:v>BO-01; BO-03; BO-06</x:v>
      </x:c>
      <x:c r="J14" s="56" t="str">
        <x:v>—</x:v>
      </x:c>
      <x:c r="K14" s="56" t="str"/>
    </x:row>
    <x:row r="15" ht="54" customHeight="1">
      <x:c r="A15" s="56" t="str">
        <x:v>FR-APP-001</x:v>
      </x:c>
      <x:c r="B15" s="56" t="str">
        <x:v>Application intake &amp; case record</x:v>
      </x:c>
      <x:c r="C15" s="56" t="str">
        <x:v>Create a uniquely referenced case with applicant and, where relevant, authorised agent details.</x:v>
      </x:c>
      <x:c r="D15" s="56" t="str">
        <x:v>F</x:v>
      </x:c>
      <x:c r="E15" s="56" t="str">
        <x:v>Must</x:v>
      </x:c>
      <x:c r="F15" s="56" t="str">
        <x:v>Assessment §2.2.B — applications are submitted on paper and registered in Excel; a unique digital case reference is proposed.</x:v>
      </x:c>
      <x:c r="G15" s="56" t="str">
        <x:v>Each accepted registration receives a unique reference that is searchable and linked to its owner/agent record.</x:v>
      </x:c>
      <x:c r="H15" s="56" t="str">
        <x:v>Proposed</x:v>
      </x:c>
      <x:c r="I15" s="56" t="str">
        <x:v>BO-02; BO-03; BO-06</x:v>
      </x:c>
      <x:c r="J15" s="56" t="str">
        <x:v>—</x:v>
      </x:c>
      <x:c r="K15" s="56" t="str"/>
    </x:row>
    <x:row r="16" ht="54" customHeight="1">
      <x:c r="A16" s="56" t="str">
        <x:v>FR-APP-002</x:v>
      </x:c>
      <x:c r="B16" s="56" t="str">
        <x:v>Application intake &amp; case record</x:v>
      </x:c>
      <x:c r="C16" s="56" t="str">
        <x:v>Record the application document checklist, including ownership documents, national ID, structural-safety report, photos, site sketch, and power of attorney where relevant.</x:v>
      </x:c>
      <x:c r="D16" s="56" t="str">
        <x:v>F</x:v>
      </x:c>
      <x:c r="E16" s="56" t="str">
        <x:v>Must</x:v>
      </x:c>
      <x:c r="F16" s="56" t="str">
        <x:v>Assessment 2.2.B</x:v>
      </x:c>
      <x:c r="G16" s="56" t="str">
        <x:v>The checklist displays each required item as received, missing, or needing review; applicable requirements are configurable only after approval.</x:v>
      </x:c>
      <x:c r="H16" s="56" t="str">
        <x:v>Source-supported basis</x:v>
      </x:c>
      <x:c r="I16" s="56" t="str">
        <x:v>BO-02; BO-03; BO-06</x:v>
      </x:c>
      <x:c r="J16" s="56" t="str">
        <x:v>—</x:v>
      </x:c>
      <x:c r="K16" s="56" t="str"/>
    </x:row>
    <x:row r="17" ht="54" customHeight="1">
      <x:c r="A17" s="56" t="str">
        <x:v>FR-APP-003</x:v>
      </x:c>
      <x:c r="B17" s="56" t="str">
        <x:v>Application intake &amp; case record</x:v>
      </x:c>
      <x:c r="C17" s="56" t="str">
        <x:v>Record intake channel, registration timestamp, receiving centre/user, and receipt identifier.</x:v>
      </x:c>
      <x:c r="D17" s="56" t="str">
        <x:v>F</x:v>
      </x:c>
      <x:c r="E17" s="56" t="str">
        <x:v>Must</x:v>
      </x:c>
      <x:c r="F17" s="56" t="str">
        <x:v>Assessment §2.2.B — intake is registered in Excel and includes deposit evidence; digital intake metadata is proposed, without resolving deposit timing/refund policy.</x:v>
      </x:c>
      <x:c r="G17" s="56" t="str">
        <x:v>The case history displays the registration event and issuing office/user; paper receipts can be cross-referenced.</x:v>
      </x:c>
      <x:c r="H17" s="56" t="str">
        <x:v>Proposed</x:v>
      </x:c>
      <x:c r="I17" s="56" t="str">
        <x:v>BO-02; BO-03; BO-06</x:v>
      </x:c>
      <x:c r="J17" s="56" t="str">
        <x:v>—</x:v>
      </x:c>
      <x:c r="K17" s="56" t="str"/>
    </x:row>
    <x:row r="18" ht="54" customHeight="1">
      <x:c r="A18" s="56" t="str">
        <x:v>FR-APP-004</x:v>
      </x:c>
      <x:c r="B18" s="56" t="str">
        <x:v>Application intake &amp; case record</x:v>
      </x:c>
      <x:c r="C18" s="56" t="str">
        <x:v>Record the building location as a map point and descriptive location information, with a flag for provisional/uncertain location.</x:v>
      </x:c>
      <x:c r="D18" s="56" t="str">
        <x:v>F</x:v>
      </x:c>
      <x:c r="E18" s="56" t="str">
        <x:v>Must</x:v>
      </x:c>
      <x:c r="F18" s="56" t="str">
        <x:v>Eng. Mona, Assessment §2.5 — map-based applicant location could reduce site-finding time; Assessment §2.3 records unreliable/missing cadastral geometry. A map pin must not be labelled a verified parcel.</x:v>
      </x:c>
      <x:c r="G18" s="56" t="str">
        <x:v>The record distinguishes a map pin from a verified cadastral parcel and captures the source/accuracy information available.</x:v>
      </x:c>
      <x:c r="H18" s="56" t="str">
        <x:v>Proposed</x:v>
      </x:c>
      <x:c r="I18" s="56" t="str">
        <x:v>BO-02; BO-03; BO-06</x:v>
      </x:c>
      <x:c r="J18" s="56" t="str">
        <x:v>—</x:v>
      </x:c>
      <x:c r="K18" s="56" t="str"/>
    </x:row>
    <x:row r="19" ht="54" customHeight="1">
      <x:c r="A19" s="56" t="str">
        <x:v>FR-APP-005</x:v>
      </x:c>
      <x:c r="B19" s="56" t="str">
        <x:v>Application intake &amp; case record</x:v>
      </x:c>
      <x:c r="C19" s="56" t="str">
        <x:v>Record an application status and status-change history visible to authorised staff.</x:v>
      </x:c>
      <x:c r="D19" s="56" t="str">
        <x:v>F</x:v>
      </x:c>
      <x:c r="E19" s="56" t="str">
        <x:v>Must</x:v>
      </x:c>
      <x:c r="F19" s="56" t="str">
        <x:v>Mr. Sayed, Assessment §2.5 — applicants return weekly asking about their file; status history is a proposed response to this visibility gap.</x:v>
      </x:c>
      <x:c r="G19" s="56" t="str">
        <x:v>A user can view status, responsible role, timestamp, and outstanding action without relying on a separate local spreadsheet.</x:v>
      </x:c>
      <x:c r="H19" s="56" t="str">
        <x:v>Proposed</x:v>
      </x:c>
      <x:c r="I19" s="56" t="str">
        <x:v>BO-02; BO-03; BO-06</x:v>
      </x:c>
      <x:c r="J19" s="56" t="str">
        <x:v>—</x:v>
      </x:c>
      <x:c r="K19" s="56" t="str"/>
    </x:row>
    <x:row r="20" ht="54" customHeight="1">
      <x:c r="A20" s="56" t="str">
        <x:v>FR-APP-006</x:v>
      </x:c>
      <x:c r="B20" s="56" t="str">
        <x:v>Application intake &amp; case record</x:v>
      </x:c>
      <x:c r="C20" s="56" t="str">
        <x:v>Support an assisted intake workflow and allow an online intake channel only when the channel is approved and available.</x:v>
      </x:c>
      <x:c r="D20" s="56" t="str">
        <x:v>F</x:v>
      </x:c>
      <x:c r="E20" s="56" t="str">
        <x:v>Should</x:v>
      </x:c>
      <x:c r="F20" s="56" t="str">
        <x:v>Hesham vs Sayed; decision open OI-09</x:v>
      </x:c>
      <x:c r="G20" s="56" t="str">
        <x:v>A technical-centre user can register a case; portal integration is not represented as operational until access and scope are approved.</x:v>
      </x:c>
      <x:c r="H20" s="56" t="str">
        <x:v>Needs decision / validation</x:v>
      </x:c>
      <x:c r="I20" s="56" t="str">
        <x:v>BO-02; BO-03; BO-06</x:v>
      </x:c>
      <x:c r="J20" s="56" t="str">
        <x:v>OI-09</x:v>
      </x:c>
      <x:c r="K20" s="56" t="str"/>
    </x:row>
    <x:row r="21" ht="54" customHeight="1">
      <x:c r="A21" s="56" t="str">
        <x:v>FR-GIS-001</x:v>
      </x:c>
      <x:c r="B21" s="56" t="str">
        <x:v>Spatial reference &amp; screening</x:v>
      </x:c>
      <x:c r="C21" s="56" t="str">
        <x:v>Maintain metadata for each reference layer, including owner/source, date, coordinate reference, coverage, and last update.</x:v>
      </x:c>
      <x:c r="D21" s="56" t="str">
        <x:v>F</x:v>
      </x:c>
      <x:c r="E21" s="56" t="str">
        <x:v>Must</x:v>
      </x:c>
      <x:c r="F21" s="56" t="str">
        <x:v>Eng. Ahmed / Assessment §2.3 — coordinate systems differ and layers may be shifted by tens of metres; layer metadata and QA are proposed controls.</x:v>
      </x:c>
      <x:c r="G21" s="56" t="str">
        <x:v>Layer metadata are viewable to authorised GIS users; unknown or stale metadata are flagged.</x:v>
      </x:c>
      <x:c r="H21" s="56" t="str">
        <x:v>Proposed</x:v>
      </x:c>
      <x:c r="I21" s="56" t="str">
        <x:v>BO-03</x:v>
      </x:c>
      <x:c r="J21" s="56" t="str">
        <x:v>—</x:v>
      </x:c>
      <x:c r="K21" s="56" t="str"/>
    </x:row>
    <x:row r="22" ht="54" customHeight="1">
      <x:c r="A22" s="56" t="str">
        <x:v>FR-GIS-002</x:v>
      </x:c>
      <x:c r="B22" s="56" t="str">
        <x:v>Spatial reference &amp; screening</x:v>
      </x:c>
      <x:c r="C22" s="56" t="str">
        <x:v>Screen an application location against available, approved restriction layers: urban boundary, agricultural land, Nile protection, heritage, and airport height restrictions where applicable data are available.</x:v>
      </x:c>
      <x:c r="D22" s="56" t="str">
        <x:v>F</x:v>
      </x:c>
      <x:c r="E22" s="56" t="str">
        <x:v>Must</x:v>
      </x:c>
      <x:c r="F22" s="56" t="str">
        <x:v>Mona / assessment 2.2.B</x:v>
      </x:c>
      <x:c r="G22" s="56" t="str">
        <x:v>The result shows per-layer hit/no-hit/unknown, source date, and spatial query status; unavailable layers are not treated as a clear result.</x:v>
      </x:c>
      <x:c r="H22" s="56" t="str">
        <x:v>Source-supported basis</x:v>
      </x:c>
      <x:c r="I22" s="56" t="str">
        <x:v>BO-03</x:v>
      </x:c>
      <x:c r="J22" s="56" t="str">
        <x:v>—</x:v>
      </x:c>
      <x:c r="K22" s="56" t="str"/>
    </x:row>
    <x:row r="23" ht="54" customHeight="1">
      <x:c r="A23" s="56" t="str">
        <x:v>FR-GIS-003</x:v>
      </x:c>
      <x:c r="B23" s="56" t="str">
        <x:v>Spatial reference &amp; screening</x:v>
      </x:c>
      <x:c r="C23" s="56" t="str">
        <x:v>Present spatial results as screening evidence for review, not as an automatic final legal or engineering decision.</x:v>
      </x:c>
      <x:c r="D23" s="56" t="str">
        <x:v>F</x:v>
      </x:c>
      <x:c r="E23" s="56" t="str">
        <x:v>Must</x:v>
      </x:c>
      <x:c r="F23" s="56" t="str">
        <x:v>Analysis control based on Mona / Legal context</x:v>
      </x:c>
      <x:c r="G23" s="56" t="str">
        <x:v>A case cannot be finally approved/rejected solely by an unreviewed spatial flag; authorised users record the final decision.</x:v>
      </x:c>
      <x:c r="H23" s="56" t="str">
        <x:v>Proposed</x:v>
      </x:c>
      <x:c r="I23" s="56" t="str">
        <x:v>BO-03</x:v>
      </x:c>
      <x:c r="J23" s="56" t="str">
        <x:v>—</x:v>
      </x:c>
      <x:c r="K23" s="56" t="str"/>
    </x:row>
    <x:row r="24" ht="54" customHeight="1">
      <x:c r="A24" s="56" t="str">
        <x:v>FR-GIS-004</x:v>
      </x:c>
      <x:c r="B24" s="56" t="str">
        <x:v>Spatial reference &amp; screening</x:v>
      </x:c>
      <x:c r="C24" s="56" t="str">
        <x:v>Preserve source coordinate-reference metadata and record transformation method and QA results for migrated or transformed layers.</x:v>
      </x:c>
      <x:c r="D24" s="56" t="str">
        <x:v>F</x:v>
      </x:c>
      <x:c r="E24" s="56" t="str">
        <x:v>Must</x:v>
      </x:c>
      <x:c r="F24" s="56" t="str">
        <x:v>Assessment 2.3; OI-04</x:v>
      </x:c>
      <x:c r="G24" s="56" t="str">
        <x:v>The data-load record identifies source and target references and logs the approved operation; unapproved transformations are blocked from production.</x:v>
      </x:c>
      <x:c r="H24" s="56" t="str">
        <x:v>Needs decision / validation</x:v>
      </x:c>
      <x:c r="I24" s="56" t="str">
        <x:v>BO-03</x:v>
      </x:c>
      <x:c r="J24" s="56" t="str">
        <x:v>OI-04</x:v>
      </x:c>
      <x:c r="K24" s="56" t="str"/>
    </x:row>
    <x:row r="25" ht="54" customHeight="1">
      <x:c r="A25" s="56" t="str">
        <x:v>FR-GIS-005</x:v>
      </x:c>
      <x:c r="B25" s="56" t="str">
        <x:v>Spatial reference &amp; screening</x:v>
      </x:c>
      <x:c r="C25" s="56" t="str">
        <x:v>Support a provisional location reference where cadastral parcel geometry is unavailable or unreliable.</x:v>
      </x:c>
      <x:c r="D25" s="56" t="str">
        <x:v>F</x:v>
      </x:c>
      <x:c r="E25" s="56" t="str">
        <x:v>Should</x:v>
      </x:c>
      <x:c r="F25" s="56" t="str">
        <x:v>Assessment 2.3; proposed</x:v>
      </x:c>
      <x:c r="G25" s="56" t="str">
        <x:v>Users can locate and track a building without the system claiming that a provisional point is a certified parcel boundary.</x:v>
      </x:c>
      <x:c r="H25" s="56" t="str">
        <x:v>Proposed</x:v>
      </x:c>
      <x:c r="I25" s="56" t="str">
        <x:v>BO-03</x:v>
      </x:c>
      <x:c r="J25" s="56" t="str">
        <x:v>—</x:v>
      </x:c>
      <x:c r="K25" s="56" t="str"/>
    </x:row>
    <x:row r="26" ht="54" customHeight="1">
      <x:c r="A26" s="56" t="str">
        <x:v>FR-WF-001</x:v>
      </x:c>
      <x:c r="B26" s="56" t="str">
        <x:v>Committee workflow &amp; decisions</x:v>
      </x:c>
      <x:c r="C26" s="56" t="str">
        <x:v>Maintain a committee review queue showing case reference, age, district, inspection status, completeness, and current decision stage.</x:v>
      </x:c>
      <x:c r="D26" s="56" t="str">
        <x:v>F</x:v>
      </x:c>
      <x:c r="E26" s="56" t="str">
        <x:v>Must</x:v>
      </x:c>
      <x:c r="F26" s="56" t="str">
        <x:v>Assessment §2.2.B — three committees meet weekly and review about 80 files per meeting; the consolidated queue is a proposed visibility/control capability.</x:v>
      </x:c>
      <x:c r="G26" s="56" t="str">
        <x:v>An authorised committee user can filter the queue and open a consistent case evidence pack.</x:v>
      </x:c>
      <x:c r="H26" s="56" t="str">
        <x:v>Proposed</x:v>
      </x:c>
      <x:c r="I26" s="56" t="str">
        <x:v>BO-02; BO-04; BO-07</x:v>
      </x:c>
      <x:c r="J26" s="56" t="str">
        <x:v>—</x:v>
      </x:c>
      <x:c r="K26" s="56" t="str"/>
    </x:row>
    <x:row r="27" ht="54" customHeight="1">
      <x:c r="A27" s="56" t="str">
        <x:v>FR-WF-002</x:v>
      </x:c>
      <x:c r="B27" s="56" t="str">
        <x:v>Committee workflow &amp; decisions</x:v>
      </x:c>
      <x:c r="C27" s="56" t="str">
        <x:v>Record one of the stated decision outcomes: approve, reject, or request additional documents.</x:v>
      </x:c>
      <x:c r="D27" s="56" t="str">
        <x:v>F</x:v>
      </x:c>
      <x:c r="E27" s="56" t="str">
        <x:v>Must</x:v>
      </x:c>
      <x:c r="F27" s="56" t="str">
        <x:v>Assessment 2.2.B</x:v>
      </x:c>
      <x:c r="G27" s="56" t="str">
        <x:v>Every committee decision records the outcome, decision date, authorised decision-maker/committee, and any required reason.</x:v>
      </x:c>
      <x:c r="H27" s="56" t="str">
        <x:v>Source-supported basis</x:v>
      </x:c>
      <x:c r="I27" s="56" t="str">
        <x:v>BO-02; BO-04; BO-07</x:v>
      </x:c>
      <x:c r="J27" s="56" t="str">
        <x:v>—</x:v>
      </x:c>
      <x:c r="K27" s="56" t="str"/>
    </x:row>
    <x:row r="28" ht="54" customHeight="1">
      <x:c r="A28" s="56" t="str">
        <x:v>FR-WF-003</x:v>
      </x:c>
      <x:c r="B28" s="56" t="str">
        <x:v>Committee workflow &amp; decisions</x:v>
      </x:c>
      <x:c r="C28" s="56" t="str">
        <x:v>Return a case requiring documents to an identified owner/queue with the outstanding items recorded.</x:v>
      </x:c>
      <x:c r="D28" s="56" t="str">
        <x:v>F</x:v>
      </x:c>
      <x:c r="E28" s="56" t="str">
        <x:v>Must</x:v>
      </x:c>
      <x:c r="F28" s="56" t="str">
        <x:v>Assessment 2.2.B; routing OI-12</x:v>
      </x:c>
      <x:c r="G28" s="56" t="str">
        <x:v>A missing-document case displays the specific outstanding items; final routing and the resubmission review point are confirmed before configuration.</x:v>
      </x:c>
      <x:c r="H28" s="56" t="str">
        <x:v>Needs decision / validation</x:v>
      </x:c>
      <x:c r="I28" s="56" t="str">
        <x:v>BO-02; BO-04; BO-07</x:v>
      </x:c>
      <x:c r="J28" s="56" t="str">
        <x:v>OI-12</x:v>
      </x:c>
      <x:c r="K28" s="56" t="str"/>
    </x:row>
    <x:row r="29" ht="54" customHeight="1">
      <x:c r="A29" s="56" t="str">
        <x:v>FR-WF-004</x:v>
      </x:c>
      <x:c r="B29" s="56" t="str">
        <x:v>Committee workflow &amp; decisions</x:v>
      </x:c>
      <x:c r="C29" s="56" t="str">
        <x:v>Preserve the case decision history and related evidence without overwriting prior outcomes.</x:v>
      </x:c>
      <x:c r="D29" s="56" t="str">
        <x:v>F</x:v>
      </x:c>
      <x:c r="E29" s="56" t="str">
        <x:v>Must</x:v>
      </x:c>
      <x:c r="F29" s="56" t="str">
        <x:v>Assessment §2.2.B — committee outcomes move through paper and distributed Excel records; preserving decision history is a proposed audit control.</x:v>
      </x:c>
      <x:c r="G29" s="56" t="str">
        <x:v>A reviewer can see prior status/decision events and the user/time associated with each change.</x:v>
      </x:c>
      <x:c r="H29" s="56" t="str">
        <x:v>Proposed</x:v>
      </x:c>
      <x:c r="I29" s="56" t="str">
        <x:v>BO-02; BO-04; BO-07</x:v>
      </x:c>
      <x:c r="J29" s="56" t="str">
        <x:v>—</x:v>
      </x:c>
      <x:c r="K29" s="56" t="str"/>
    </x:row>
    <x:row r="30" ht="54" customHeight="1">
      <x:c r="A30" s="56" t="str">
        <x:v>FR-WF-005</x:v>
      </x:c>
      <x:c r="B30" s="56" t="str">
        <x:v>Committee workflow &amp; decisions</x:v>
      </x:c>
      <x:c r="C30" s="56" t="str">
        <x:v>Link each appeal record to the original case and record filing date, notification evidence, grounds/documents, and recorded outcome.</x:v>
      </x:c>
      <x:c r="D30" s="56" t="str">
        <x:v>F</x:v>
      </x:c>
      <x:c r="E30" s="56" t="str">
        <x:v>Should</x:v>
      </x:c>
      <x:c r="F30" s="56" t="str">
        <x:v>Assessment 2.2.B; OI-07</x:v>
      </x:c>
      <x:c r="G30" s="56" t="str">
        <x:v>An appeal can be tracked separately and linked to the rejected case; no automatic stay or outcome is inferred.</x:v>
      </x:c>
      <x:c r="H30" s="56" t="str">
        <x:v>Needs decision / validation</x:v>
      </x:c>
      <x:c r="I30" s="56" t="str">
        <x:v>BO-02; BO-04; BO-07</x:v>
      </x:c>
      <x:c r="J30" s="56" t="str">
        <x:v>OI-07</x:v>
      </x:c>
      <x:c r="K30" s="56" t="str"/>
    </x:row>
    <x:row r="31" ht="54" customHeight="1">
      <x:c r="A31" s="56" t="str">
        <x:v>FR-WF-006</x:v>
      </x:c>
      <x:c r="B31" s="56" t="str">
        <x:v>Committee workflow &amp; decisions</x:v>
      </x:c>
      <x:c r="C31" s="56" t="str">
        <x:v>Record authorised follow-up after a final decision, including formal-notice status where required by the approved process.</x:v>
      </x:c>
      <x:c r="D31" s="56" t="str">
        <x:v>F</x:v>
      </x:c>
      <x:c r="E31" s="56" t="str">
        <x:v>Should</x:v>
      </x:c>
      <x:c r="F31" s="56" t="str">
        <x:v>Adel; proposed</x:v>
      </x:c>
      <x:c r="G31" s="56" t="str">
        <x:v>A case shows whether the required follow-up has been recorded; the system does not autonomously issue or execute a removal decision.</x:v>
      </x:c>
      <x:c r="H31" s="56" t="str">
        <x:v>Proposed</x:v>
      </x:c>
      <x:c r="I31" s="56" t="str">
        <x:v>BO-02; BO-04; BO-07</x:v>
      </x:c>
      <x:c r="J31" s="56" t="str">
        <x:v>—</x:v>
      </x:c>
      <x:c r="K31" s="56" t="str"/>
    </x:row>
    <x:row r="32" ht="54" customHeight="1">
      <x:c r="A32" s="56" t="str">
        <x:v>FR-FIN-001</x:v>
      </x:c>
      <x:c r="B32" s="56" t="str">
        <x:v>Fees, receipts &amp; instalments</x:v>
      </x:c>
      <x:c r="C32" s="56" t="str">
        <x:v>Maintain an approved, versioned tariff schedule with effective date, zone class, rate, approver, and supporting reference.</x:v>
      </x:c>
      <x:c r="D32" s="56" t="str">
        <x:v>F</x:v>
      </x:c>
      <x:c r="E32" s="56" t="str">
        <x:v>Must</x:v>
      </x:c>
      <x:c r="F32" s="56" t="str">
        <x:v>Finance / assessment 2.4; proposed</x:v>
      </x:c>
      <x:c r="G32" s="56" t="str">
        <x:v>A fee calculation can identify the exact tariff version and approval used.</x:v>
      </x:c>
      <x:c r="H32" s="56" t="str">
        <x:v>Proposed</x:v>
      </x:c>
      <x:c r="I32" s="56" t="str">
        <x:v>BO-05</x:v>
      </x:c>
      <x:c r="J32" s="56" t="str">
        <x:v>—</x:v>
      </x:c>
      <x:c r="K32" s="56" t="str"/>
    </x:row>
    <x:row r="33" ht="54" customHeight="1">
      <x:c r="A33" s="56" t="str">
        <x:v>FR-FIN-002</x:v>
      </x:c>
      <x:c r="B33" s="56" t="str">
        <x:v>Fees, receipts &amp; instalments</x:v>
      </x:c>
      <x:c r="C33" s="56" t="str">
        <x:v>Support an approved special street rate that takes precedence over a general zone rate when the approval is valid.</x:v>
      </x:c>
      <x:c r="D33" s="56" t="str">
        <x:v>F</x:v>
      </x:c>
      <x:c r="E33" s="56" t="str">
        <x:v>Must</x:v>
      </x:c>
      <x:c r="F33" s="56" t="str">
        <x:v>Finance note in assessment 2.4</x:v>
      </x:c>
      <x:c r="G33" s="56" t="str">
        <x:v>The calculation records the selected street/zone rate and approval reference; unapproved overrides cannot be used.</x:v>
      </x:c>
      <x:c r="H33" s="56" t="str">
        <x:v>Source-supported basis</x:v>
      </x:c>
      <x:c r="I33" s="56" t="str">
        <x:v>BO-05</x:v>
      </x:c>
      <x:c r="J33" s="56" t="str">
        <x:v>—</x:v>
      </x:c>
      <x:c r="K33" s="56" t="str"/>
    </x:row>
    <x:row r="34" ht="54" customHeight="1">
      <x:c r="A34" s="56" t="str">
        <x:v>FR-FIN-003</x:v>
      </x:c>
      <x:c r="B34" s="56" t="str">
        <x:v>Fees, receipts &amp; instalments</x:v>
      </x:c>
      <x:c r="C34" s="56" t="str">
        <x:v>Prevent a payable amount from being finalised when no approved rate exists for the relevant extension area.</x:v>
      </x:c>
      <x:c r="D34" s="56" t="str">
        <x:v>F</x:v>
      </x:c>
      <x:c r="E34" s="56" t="str">
        <x:v>Must</x:v>
      </x:c>
      <x:c r="F34" s="56" t="str">
        <x:v>Assessment 2.4; proposed control OI-05</x:v>
      </x:c>
      <x:c r="G34" s="56" t="str">
        <x:v>The case is marked pending pricing and no default rate is silently applied.</x:v>
      </x:c>
      <x:c r="H34" s="56" t="str">
        <x:v>Needs decision / validation</x:v>
      </x:c>
      <x:c r="I34" s="56" t="str">
        <x:v>BO-05</x:v>
      </x:c>
      <x:c r="J34" s="56" t="str">
        <x:v>OI-05</x:v>
      </x:c>
      <x:c r="K34" s="56" t="str"/>
    </x:row>
    <x:row r="35" ht="54" customHeight="1">
      <x:c r="A35" s="56" t="str">
        <x:v>FR-FIN-004</x:v>
      </x:c>
      <x:c r="B35" s="56" t="str">
        <x:v>Fees, receipts &amp; instalments</x:v>
      </x:c>
      <x:c r="C35" s="56" t="str">
        <x:v>Calculate the fee from the accepted violating area and the applicable approved price per square metre.</x:v>
      </x:c>
      <x:c r="D35" s="56" t="str">
        <x:v>F</x:v>
      </x:c>
      <x:c r="E35" s="56" t="str">
        <x:v>Must</x:v>
      </x:c>
      <x:c r="F35" s="56" t="str">
        <x:v>Assessment 2.2.B and 2.4</x:v>
      </x:c>
      <x:c r="G35" s="56" t="str">
        <x:v>The calculation displays area, rate source, arithmetic, and total; any manual area correction is attributed to an authorised user.</x:v>
      </x:c>
      <x:c r="H35" s="56" t="str">
        <x:v>Source-supported basis</x:v>
      </x:c>
      <x:c r="I35" s="56" t="str">
        <x:v>BO-05</x:v>
      </x:c>
      <x:c r="J35" s="56" t="str">
        <x:v>—</x:v>
      </x:c>
      <x:c r="K35" s="56" t="str"/>
    </x:row>
    <x:row r="36" ht="54" customHeight="1">
      <x:c r="A36" s="56" t="str">
        <x:v>FR-FIN-005</x:v>
      </x:c>
      <x:c r="B36" s="56" t="str">
        <x:v>Fees, receipts &amp; instalments</x:v>
      </x:c>
      <x:c r="C36" s="56" t="str">
        <x:v>Record the 25% deposit/payment evidence and the approved remaining balance for each application.</x:v>
      </x:c>
      <x:c r="D36" s="56" t="str">
        <x:v>F</x:v>
      </x:c>
      <x:c r="E36" s="56" t="str">
        <x:v>Must</x:v>
      </x:c>
      <x:c r="F36" s="56" t="str">
        <x:v>Assessment 2.4; refund/timing OI-06</x:v>
      </x:c>
      <x:c r="G36" s="56" t="str">
        <x:v>The case shows deposit amount, date, reference, balance, and any refund request/disposition; refund policy is not hard-coded while unresolved.</x:v>
      </x:c>
      <x:c r="H36" s="56" t="str">
        <x:v>Needs decision / validation</x:v>
      </x:c>
      <x:c r="I36" s="56" t="str">
        <x:v>BO-05</x:v>
      </x:c>
      <x:c r="J36" s="56" t="str">
        <x:v>OI-06</x:v>
      </x:c>
      <x:c r="K36" s="56" t="str"/>
    </x:row>
    <x:row r="37" ht="54" customHeight="1">
      <x:c r="A37" s="56" t="str">
        <x:v>FR-FIN-006</x:v>
      </x:c>
      <x:c r="B37" s="56" t="str">
        <x:v>Fees, receipts &amp; instalments</x:v>
      </x:c>
      <x:c r="C37" s="56" t="str">
        <x:v>Track full payment or an authorised instalment arrangement of up to 36 months, including due dates and receipts.</x:v>
      </x:c>
      <x:c r="D37" s="56" t="str">
        <x:v>F</x:v>
      </x:c>
      <x:c r="E37" s="56" t="str">
        <x:v>Must</x:v>
      </x:c>
      <x:c r="F37" s="56" t="str">
        <x:v>Assessment 2.4</x:v>
      </x:c>
      <x:c r="G37" s="56" t="str">
        <x:v>The ledger lists each amount due/paid and outstanding balance; extensions, penalties, reminders, or certificate suspension require separately approved rules.</x:v>
      </x:c>
      <x:c r="H37" s="56" t="str">
        <x:v>Source-supported basis</x:v>
      </x:c>
      <x:c r="I37" s="56" t="str">
        <x:v>BO-05</x:v>
      </x:c>
      <x:c r="J37" s="56" t="str">
        <x:v>—</x:v>
      </x:c>
      <x:c r="K37" s="56" t="str"/>
    </x:row>
    <x:row r="38" ht="54" customHeight="1">
      <x:c r="A38" s="56" t="str">
        <x:v>FR-CERT-001</x:v>
      </x:c>
      <x:c r="B38" s="56" t="str">
        <x:v>Certificates &amp; utility verification</x:v>
      </x:c>
      <x:c r="C38" s="56" t="str">
        <x:v>Record a certificate identifier, issue date, issuing authority, and current status after the approved issuance conditions are met.</x:v>
      </x:c>
      <x:c r="D38" s="56" t="str">
        <x:v>F</x:v>
      </x:c>
      <x:c r="E38" s="56" t="str">
        <x:v>Must</x:v>
      </x:c>
      <x:c r="F38" s="56" t="str">
        <x:v>Assessment 2.2.B; issuance rule OI-08</x:v>
      </x:c>
      <x:c r="G38" s="56" t="str">
        <x:v>The certificate record links to the case and records the approved issuance basis; exact issuance trigger must be approved.</x:v>
      </x:c>
      <x:c r="H38" s="56" t="str">
        <x:v>Needs decision / validation</x:v>
      </x:c>
      <x:c r="I38" s="56" t="str">
        <x:v>BO-05; BO-07</x:v>
      </x:c>
      <x:c r="J38" s="56" t="str">
        <x:v>OI-08</x:v>
      </x:c>
      <x:c r="K38" s="56" t="str"/>
    </x:row>
    <x:row r="39" ht="54" customHeight="1">
      <x:c r="A39" s="56" t="str">
        <x:v>FR-CERT-002</x:v>
      </x:c>
      <x:c r="B39" s="56" t="str">
        <x:v>Certificates &amp; utility verification</x:v>
      </x:c>
      <x:c r="C39" s="56" t="str">
        <x:v>Retain the relationship between a certificate and the related application, decision, and relevant payment records.</x:v>
      </x:c>
      <x:c r="D39" s="56" t="str">
        <x:v>F</x:v>
      </x:c>
      <x:c r="E39" s="56" t="str">
        <x:v>Must</x:v>
      </x:c>
      <x:c r="F39" s="56" t="str">
        <x:v>Assessment §2.2.B — certificates are printed/signed and paper copies are mailed to utilities; linking certificate, case, decision and payment history is a proposed control.</x:v>
      </x:c>
      <x:c r="G39" s="56" t="str">
        <x:v>An authorised user can trace the certificate back to the source case and decision/payment history.</x:v>
      </x:c>
      <x:c r="H39" s="56" t="str">
        <x:v>Proposed</x:v>
      </x:c>
      <x:c r="I39" s="56" t="str">
        <x:v>BO-05; BO-07</x:v>
      </x:c>
      <x:c r="J39" s="56" t="str">
        <x:v>—</x:v>
      </x:c>
      <x:c r="K39" s="56" t="str"/>
    </x:row>
    <x:row r="40" ht="54" customHeight="1">
      <x:c r="A40" s="56" t="str">
        <x:v>FR-CERT-003</x:v>
      </x:c>
      <x:c r="B40" s="56" t="str">
        <x:v>Certificates &amp; utility verification</x:v>
      </x:c>
      <x:c r="C40" s="56" t="str">
        <x:v>Support a utility verification interface only after an approved data-sharing/security design and counterpart agreement.</x:v>
      </x:c>
      <x:c r="D40" s="56" t="str">
        <x:v>F</x:v>
      </x:c>
      <x:c r="E40" s="56" t="str">
        <x:v>Could</x:v>
      </x:c>
      <x:c r="F40" s="56" t="str">
        <x:v>Khaled / Walid; OI-09</x:v>
      </x:c>
      <x:c r="G40" s="56" t="str">
        <x:v>No live integration is assumed; a test interface must pass an agreed authorisation and minimal-data verification test before production.</x:v>
      </x:c>
      <x:c r="H40" s="56" t="str">
        <x:v>Needs decision / validation</x:v>
      </x:c>
      <x:c r="I40" s="56" t="str">
        <x:v>BO-05; BO-07</x:v>
      </x:c>
      <x:c r="J40" s="56" t="str">
        <x:v>OI-09</x:v>
      </x:c>
      <x:c r="K40" s="56" t="str"/>
    </x:row>
    <x:row r="41" ht="54" customHeight="1">
      <x:c r="A41" s="56" t="str">
        <x:v>FR-REP-001</x:v>
      </x:c>
      <x:c r="B41" s="56" t="str">
        <x:v>Reports &amp; dashboards</x:v>
      </x:c>
      <x:c r="C41" s="56" t="str">
        <x:v>Provide a map-based dashboard for violations by district, application status/volume, collections, and recorded removals/follow-up.</x:v>
      </x:c>
      <x:c r="D41" s="56" t="str">
        <x:v>F</x:v>
      </x:c>
      <x:c r="E41" s="56" t="str">
        <x:v>Must</x:v>
      </x:c>
      <x:c r="F41" s="56" t="str">
        <x:v>Hesham / assessment 2.5</x:v>
      </x:c>
      <x:c r="G41" s="56" t="str">
        <x:v>Each metric has a documented definition, source, refresh time, and permissions; removal figures reflect recorded authorised events only.</x:v>
      </x:c>
      <x:c r="H41" s="56" t="str">
        <x:v>Source-supported basis</x:v>
      </x:c>
      <x:c r="I41" s="56" t="str">
        <x:v>BO-04</x:v>
      </x:c>
      <x:c r="J41" s="56" t="str">
        <x:v>—</x:v>
      </x:c>
      <x:c r="K41" s="56" t="str"/>
    </x:row>
    <x:row r="42" ht="54" customHeight="1">
      <x:c r="A42" s="56" t="str">
        <x:v>FR-REP-002</x:v>
      </x:c>
      <x:c r="B42" s="56" t="str">
        <x:v>Reports &amp; dashboards</x:v>
      </x:c>
      <x:c r="C42" s="56" t="str">
        <x:v>Provide operational queue reports for application age, committee throughput, missing documents, inspection outstanding items, and instalment balances.</x:v>
      </x:c>
      <x:c r="D42" s="56" t="str">
        <x:v>F</x:v>
      </x:c>
      <x:c r="E42" s="56" t="str">
        <x:v>Should</x:v>
      </x:c>
      <x:c r="F42" s="56" t="str">
        <x:v>Assessment §§2.2.B, 2.3 — case status, committee work and finance data are handled through paper and distributed Excel; operational queue reporting is a proposed capability.</x:v>
      </x:c>
      <x:c r="G42" s="56" t="str">
        <x:v>Filters reconcile to underlying case records and totals; the report does not imply unrecorded work is completed.</x:v>
      </x:c>
      <x:c r="H42" s="56" t="str">
        <x:v>Proposed</x:v>
      </x:c>
      <x:c r="I42" s="56" t="str">
        <x:v>BO-04</x:v>
      </x:c>
      <x:c r="J42" s="56" t="str">
        <x:v>—</x:v>
      </x:c>
      <x:c r="K42" s="56" t="str"/>
    </x:row>
    <x:row r="43" ht="54" customHeight="1">
      <x:c r="A43" s="56" t="str">
        <x:v>FR-REP-003</x:v>
      </x:c>
      <x:c r="B43" s="56" t="str">
        <x:v>Reports &amp; dashboards</x:v>
      </x:c>
      <x:c r="C43" s="56" t="str">
        <x:v>Allow authorised users to export permitted report data and record the report date/filter context.</x:v>
      </x:c>
      <x:c r="D43" s="56" t="str">
        <x:v>F</x:v>
      </x:c>
      <x:c r="E43" s="56" t="str">
        <x:v>Could</x:v>
      </x:c>
      <x:c r="F43" s="56" t="str">
        <x:v>BA proposal only: the assessment does not explicitly request general report export. Validate intended users, permitted fields and access rules before approval.</x:v>
      </x:c>
      <x:c r="G43" s="56" t="str">
        <x:v>An authorised user can export an approved set of fields; access restrictions apply to sensitive personal data.</x:v>
      </x:c>
      <x:c r="H43" s="56" t="str">
        <x:v>Proposed</x:v>
      </x:c>
      <x:c r="I43" s="56" t="str">
        <x:v>BO-04</x:v>
      </x:c>
      <x:c r="J43" s="56" t="str">
        <x:v>—</x:v>
      </x:c>
      <x:c r="K43" s="56" t="str"/>
    </x:row>
    <x:row r="44" ht="54" customHeight="1">
      <x:c r="A44" s="56" t="str">
        <x:v>FR-DAT-001</x:v>
      </x:c>
      <x:c r="B44" s="56" t="str">
        <x:v>Legacy data migration &amp; reconciliation</x:v>
      </x:c>
      <x:c r="C44" s="56" t="str">
        <x:v>Profile and map the source fields from Oracle 11g and local Excel files before migration.</x:v>
      </x:c>
      <x:c r="D44" s="56" t="str">
        <x:v>F</x:v>
      </x:c>
      <x:c r="E44" s="56" t="str">
        <x:v>Must</x:v>
      </x:c>
      <x:c r="F44" s="56" t="str">
        <x:v>Assessment 2.3; proposed</x:v>
      </x:c>
      <x:c r="G44" s="56" t="str">
        <x:v>The migration mapping lists each source field, transformation, mandatory rule, and exception outcome.</x:v>
      </x:c>
      <x:c r="H44" s="56" t="str">
        <x:v>Proposed</x:v>
      </x:c>
      <x:c r="I44" s="56" t="str">
        <x:v>BO-02; BO-03</x:v>
      </x:c>
      <x:c r="J44" s="56" t="str">
        <x:v>—</x:v>
      </x:c>
      <x:c r="K44" s="56" t="str"/>
    </x:row>
    <x:row r="45" ht="54" customHeight="1">
      <x:c r="A45" s="56" t="str">
        <x:v>FR-DAT-002</x:v>
      </x:c>
      <x:c r="B45" s="56" t="str">
        <x:v>Legacy data migration &amp; reconciliation</x:v>
      </x:c>
      <x:c r="C45" s="56" t="str">
        <x:v>Reconcile source/target record counts and duplicates for each approved migration batch.</x:v>
      </x:c>
      <x:c r="D45" s="56" t="str">
        <x:v>F</x:v>
      </x:c>
      <x:c r="E45" s="56" t="str">
        <x:v>Must</x:v>
      </x:c>
      <x:c r="F45" s="56" t="str">
        <x:v>Assessment §2.3 — Oracle 11g and ten distributed Excel sheets are in use; batch count/duplicate reconciliation is a proposed migration control.</x:v>
      </x:c>
      <x:c r="G45" s="56" t="str">
        <x:v>A batch report lists read, loaded, rejected, duplicate, and exception counts and receives data-owner approval.</x:v>
      </x:c>
      <x:c r="H45" s="56" t="str">
        <x:v>Proposed</x:v>
      </x:c>
      <x:c r="I45" s="56" t="str">
        <x:v>BO-02; BO-03</x:v>
      </x:c>
      <x:c r="J45" s="56" t="str">
        <x:v>—</x:v>
      </x:c>
      <x:c r="K45" s="56" t="str"/>
    </x:row>
    <x:row r="46" ht="54" customHeight="1">
      <x:c r="A46" s="56" t="str">
        <x:v>FR-DAT-003</x:v>
      </x:c>
      <x:c r="B46" s="56" t="str">
        <x:v>Legacy data migration &amp; reconciliation</x:v>
      </x:c>
      <x:c r="C46" s="56" t="str">
        <x:v>Apply an approved migration scope that distinguishes the approximately 38,000 pending applications from the approximately 40,000 paper archive files.</x:v>
      </x:c>
      <x:c r="D46" s="56" t="str">
        <x:v>F</x:v>
      </x:c>
      <x:c r="E46" s="56" t="str">
        <x:v>Must</x:v>
      </x:c>
      <x:c r="F46" s="56" t="str">
        <x:v>OI-10</x:v>
      </x:c>
      <x:c r="G46" s="56" t="str">
        <x:v>The migration plan explicitly states which population is included and records the resolution of duplicate/overlapping records before loading.</x:v>
      </x:c>
      <x:c r="H46" s="56" t="str">
        <x:v>Needs decision / validation</x:v>
      </x:c>
      <x:c r="I46" s="56" t="str">
        <x:v>BO-02; BO-03</x:v>
      </x:c>
      <x:c r="J46" s="56" t="str">
        <x:v>OI-10</x:v>
      </x:c>
      <x:c r="K46" s="56" t="str"/>
    </x:row>
    <x:row r="47" ht="54" customHeight="1">
      <x:c r="A47" s="56" t="str">
        <x:v>NFR-001</x:v>
      </x:c>
      <x:c r="B47" s="56" t="str">
        <x:v>Performance</x:v>
      </x:c>
      <x:c r="C47" s="56" t="str">
        <x:v>Candidate target: standard case search and case summary render in no more than 3 seconds at the agreed pilot load and network conditions.</x:v>
      </x:c>
      <x:c r="D47" s="56" t="str">
        <x:v>NF</x:v>
      </x:c>
      <x:c r="E47" s="56" t="str">
        <x:v>Should</x:v>
      </x:c>
      <x:c r="F47" s="56" t="str">
        <x:v>No numeric response-time SLA is stated in the source assessment. The 3-second value is only a candidate target proposed for validation with IT/business.</x:v>
      </x:c>
      <x:c r="G47" s="56" t="str">
        <x:v>Record p95 response times in an agreed test; approve concurrency and sample volume first.</x:v>
      </x:c>
      <x:c r="H47" s="56" t="str">
        <x:v>Needs decision / validation</x:v>
      </x:c>
      <x:c r="I47" s="56" t="str">
        <x:v>BO-02; BO-04</x:v>
      </x:c>
      <x:c r="J47" s="56" t="str">
        <x:v>—</x:v>
      </x:c>
      <x:c r="K47" s="56" t="str">
        <x:v>Provisional BA recommendation only; confirm with business/IT during prioritisation. The 3-second candidate target is not approved and must be validated under agreed pilot load/network conditions.</x:v>
      </x:c>
    </x:row>
    <x:row r="48" ht="54" customHeight="1">
      <x:c r="A48" s="56" t="str">
        <x:v>NFR-002</x:v>
      </x:c>
      <x:c r="B48" s="56" t="str">
        <x:v>Capacity</x:v>
      </x:c>
      <x:c r="C48" s="56" t="str">
        <x:v>Candidate test volume: at least 50,000 active case records, based on the illustrative backlog-plus-intake calculation; document attachment volume remains to be sized.</x:v>
      </x:c>
      <x:c r="D48" s="56" t="str">
        <x:v>NF</x:v>
      </x:c>
      <x:c r="E48" s="56" t="str">
        <x:v>Must</x:v>
      </x:c>
      <x:c r="F48" s="56" t="str">
        <x:v>Derived sizing hypothesis: 38,000 pending applications plus about 1,500 new/month over an illustrative six months gives about 47,000; 50,000 is a proposed test volume, not an approved capacity target.</x:v>
      </x:c>
      <x:c r="G48" s="56" t="str">
        <x:v>Load representative records and measure search, storage, reports, and migration time.</x:v>
      </x:c>
      <x:c r="H48" s="56" t="str">
        <x:v>Needs decision / validation</x:v>
      </x:c>
      <x:c r="I48" s="56" t="str">
        <x:v>BO-02; BO-04</x:v>
      </x:c>
      <x:c r="J48" s="56" t="str">
        <x:v>—</x:v>
      </x:c>
      <x:c r="K48" s="56" t="str">
        <x:v>Provisional BA recommendation only; confirm with business/IT. The 50,000-record figure is a candidate sizing assumption based on illustrative backlog maths, not an approved capacity target.</x:v>
      </x:c>
    </x:row>
    <x:row r="49" ht="54" customHeight="1">
      <x:c r="A49" s="56" t="str">
        <x:v>NFR-003</x:v>
      </x:c>
      <x:c r="B49" s="56" t="str">
        <x:v>Availability</x:v>
      </x:c>
      <x:c r="C49" s="56" t="str">
        <x:v>Define availability against the Governorate's official working hours and planned maintenance window; agree a measurable monthly target before baseline.</x:v>
      </x:c>
      <x:c r="D49" s="56" t="str">
        <x:v>NF</x:v>
      </x:c>
      <x:c r="E49" s="56" t="str">
        <x:v>Should</x:v>
      </x:c>
      <x:c r="F49" s="56" t="str">
        <x:v>Assessment §2.3 identifies weak internet at two centres and village locations; no availability percentage or official service-hours target is provided.</x:v>
      </x:c>
      <x:c r="G49" s="56" t="str">
        <x:v>Monitoring report and agreed calculation formula.</x:v>
      </x:c>
      <x:c r="H49" s="56" t="str">
        <x:v>Needs decision / validation</x:v>
      </x:c>
      <x:c r="I49" s="56" t="str">
        <x:v>BO-06</x:v>
      </x:c>
      <x:c r="J49" s="56" t="str">
        <x:v>—</x:v>
      </x:c>
      <x:c r="K49" s="56" t="str">
        <x:v>Provisional BA recommendation only; confirm with IT/service owner. The assessment gives no availability percentage or official service-hours target.</x:v>
      </x:c>
    </x:row>
    <x:row r="50" ht="54" customHeight="1">
      <x:c r="A50" s="56" t="str">
        <x:v>NFR-004</x:v>
      </x:c>
      <x:c r="B50" s="56" t="str">
        <x:v>Recovery</x:v>
      </x:c>
      <x:c r="C50" s="56" t="str">
        <x:v>Approve Recovery Point Objective (RPO), Recovery Time Objective (RTO), backup frequency, retention, and restoration test schedule with IT. Do not assume values in this draft.</x:v>
      </x:c>
      <x:c r="D50" s="56" t="str">
        <x:v>NF</x:v>
      </x:c>
      <x:c r="E50" s="56" t="str">
        <x:v>Must</x:v>
      </x:c>
      <x:c r="F50" s="56" t="str">
        <x:v>The assessment provides no RPO, RTO, backup frequency, retention duration or restore-time target; these require IT/risk-owner decisions.</x:v>
      </x:c>
      <x:c r="G50" s="56" t="str">
        <x:v>Demonstrated restore test with recorded data-loss and restoration durations.</x:v>
      </x:c>
      <x:c r="H50" s="56" t="str">
        <x:v>Needs decision / validation</x:v>
      </x:c>
      <x:c r="I50" s="56" t="str">
        <x:v>BO-06; BO-07</x:v>
      </x:c>
      <x:c r="J50" s="56" t="str">
        <x:v>—</x:v>
      </x:c>
      <x:c r="K50" s="56" t="str">
        <x:v>Provisional BA recommendation only; confirm with IT/risk owners. RPO, RTO, backup frequency, retention and restore targets remain undefined.</x:v>
      </x:c>
    </x:row>
    <x:row r="51" ht="54" customHeight="1">
      <x:c r="A51" s="56" t="str">
        <x:v>NFR-005</x:v>
      </x:c>
      <x:c r="B51" s="56" t="str">
        <x:v>Security / access</x:v>
      </x:c>
      <x:c r="C51" s="56" t="str">
        <x:v>Enforce role-based permissions so only authorised roles may access applicant details, change decisions, edit tariffs, or view finance records.</x:v>
      </x:c>
      <x:c r="D51" s="56" t="str">
        <x:v>NF</x:v>
      </x:c>
      <x:c r="E51" s="56" t="str">
        <x:v>Must</x:v>
      </x:c>
      <x:c r="F51" s="56" t="str">
        <x:v>Assessment §§2.2.B, 2.3 includes applicant IDs, ownership documents, safety reports and a data-residency constraint; RBAC is a proposed control requiring role validation.</x:v>
      </x:c>
      <x:c r="G51" s="56" t="str">
        <x:v>Role/permission matrix and negative-access tests.</x:v>
      </x:c>
      <x:c r="H51" s="56" t="str">
        <x:v>Needs decision / validation</x:v>
      </x:c>
      <x:c r="I51" s="56" t="str">
        <x:v>BO-07</x:v>
      </x:c>
      <x:c r="J51" s="56" t="str">
        <x:v>—</x:v>
      </x:c>
      <x:c r="K51" s="56" t="str">
        <x:v>Provisional BA recommendation only; confirm role matrix and data-access rules with IT/business. Exact roles are not approved in this workbook.</x:v>
      </x:c>
    </x:row>
    <x:row r="52" ht="54" customHeight="1">
      <x:c r="A52" s="56" t="str">
        <x:v>NFR-006</x:v>
      </x:c>
      <x:c r="B52" s="56" t="str">
        <x:v>Auditability</x:v>
      </x:c>
      <x:c r="C52" s="56" t="str">
        <x:v>Record actor, timestamp, old/new status, reason, and reference for material changes to decisions, tariffs, case status, payment records, and certificate status.</x:v>
      </x:c>
      <x:c r="D52" s="56" t="str">
        <x:v>NF</x:v>
      </x:c>
      <x:c r="E52" s="56" t="str">
        <x:v>Must</x:v>
      </x:c>
      <x:c r="F52" s="56" t="str">
        <x:v>Assessment §§2.2.B, 2.3 describes committee decisions, financial records and distributed paper/Excel handoffs; the detailed audit-event requirement is a proposed control.</x:v>
      </x:c>
      <x:c r="G52" s="56" t="str">
        <x:v>Audit test against a defined set of material actions; historical events are retrievable.</x:v>
      </x:c>
      <x:c r="H52" s="56" t="str">
        <x:v>Proposed</x:v>
      </x:c>
      <x:c r="I52" s="56" t="str">
        <x:v>BO-07</x:v>
      </x:c>
      <x:c r="J52" s="56" t="str">
        <x:v>—</x:v>
      </x:c>
      <x:c r="K52" s="56" t="str">
        <x:v>Provisional BA recommendation only; confirm the audit-event scope and retention with process owners/IT.</x:v>
      </x:c>
    </x:row>
    <x:row r="53" ht="54" customHeight="1">
      <x:c r="A53" s="56" t="str">
        <x:v>NFR-007</x:v>
      </x:c>
      <x:c r="B53" s="56" t="str">
        <x:v>Arabic usability</x:v>
      </x:c>
      <x:c r="C53" s="56" t="str">
        <x:v>Support Arabic content and right-to-left presentation for citizen/staff interactions where Arabic is the chosen user language.</x:v>
      </x:c>
      <x:c r="D53" s="56" t="str">
        <x:v>NF</x:v>
      </x:c>
      <x:c r="E53" s="56" t="str">
        <x:v>Should</x:v>
      </x:c>
      <x:c r="F53" s="56" t="str">
        <x:v>No explicit Arabic-interface requirement is stated in the assessment. This is a usability proposal based on the local operating context and requires validation with representative users.</x:v>
      </x:c>
      <x:c r="G53" s="56" t="str">
        <x:v>User acceptance sessions with Arabic-speaking users; test forms, tables, search, and validation messages.</x:v>
      </x:c>
      <x:c r="H53" s="56" t="str">
        <x:v>Proposed</x:v>
      </x:c>
      <x:c r="I53" s="56" t="str">
        <x:v>BO-06</x:v>
      </x:c>
      <x:c r="J53" s="56" t="str">
        <x:v>—</x:v>
      </x:c>
      <x:c r="K53" s="56" t="str">
        <x:v>Provisional BA recommendation only; the source assessment does not explicitly prescribe Arabic UI support. Validate language and usability scope with representative users.</x:v>
      </x:c>
    </x:row>
    <x:row r="54" ht="54" customHeight="1">
      <x:c r="A54" s="56" t="str">
        <x:v>NFR-008</x:v>
      </x:c>
      <x:c r="B54" s="56" t="str">
        <x:v>Offline resilience</x:v>
      </x:c>
      <x:c r="C54" s="56" t="str">
        <x:v>Proposed field workflow must preserve unsynchronised entries, show pending sync state, and avoid duplicate records after retry.</x:v>
      </x:c>
      <x:c r="D54" s="56" t="str">
        <x:v>NF</x:v>
      </x:c>
      <x:c r="E54" s="56" t="str">
        <x:v>Must</x:v>
      </x:c>
      <x:c r="F54" s="56" t="str">
        <x:v>Mr. Walid / Assessment §§2.3, 2.5 — connectivity is unreliable in village locations; offline capability is proposed, with device/security/synchronisation design open under OI-11.</x:v>
      </x:c>
      <x:c r="G54" s="56" t="str">
        <x:v>Field test with connectivity disabled and restored; compare locally saved and central records.</x:v>
      </x:c>
      <x:c r="H54" s="56" t="str">
        <x:v>Needs decision / validation</x:v>
      </x:c>
      <x:c r="I54" s="56" t="str">
        <x:v>BO-06</x:v>
      </x:c>
      <x:c r="J54" s="56" t="str">
        <x:v>—</x:v>
      </x:c>
      <x:c r="K54" s="56" t="str">
        <x:v>Provisional BA recommendation only and conditional on approved scope/feasibility. Validate device, security, local storage, retry, conflict and synchronisation design under OI-11.</x:v>
      </x:c>
    </x:row>
    <x:row r="55" ht="54" customHeight="1">
      <x:c r="A55" s="56" t="str">
        <x:v>NFR-009</x:v>
      </x:c>
      <x:c r="B55" s="56" t="str">
        <x:v>Low bandwidth</x:v>
      </x:c>
      <x:c r="C55" s="56" t="str">
        <x:v>Common case actions must provide a clear pending/success/failure outcome on slow or unstable links and allow a user to retry safely.</x:v>
      </x:c>
      <x:c r="D55" s="56" t="str">
        <x:v>NF</x:v>
      </x:c>
      <x:c r="E55" s="56" t="str">
        <x:v>Should</x:v>
      </x:c>
      <x:c r="F55" s="56" t="str">
        <x:v>Assessment §§2.3, 2.5 notes weak/inconsistent internet; low-bandwidth behaviour is a proposed operational requirement. No measurable threshold is provided.</x:v>
      </x:c>
      <x:c r="G55" s="56" t="str">
        <x:v>Test on a simulated degraded connection; no silent record loss or duplicate submission.</x:v>
      </x:c>
      <x:c r="H55" s="56" t="str">
        <x:v>Proposed</x:v>
      </x:c>
      <x:c r="I55" s="56" t="str">
        <x:v>BO-06</x:v>
      </x:c>
      <x:c r="J55" s="56" t="str">
        <x:v>—</x:v>
      </x:c>
      <x:c r="K55" s="56" t="str">
        <x:v>Provisional BA recommendation only; validate thresholds and degraded-network test conditions with IT and field users.</x:v>
      </x:c>
    </x:row>
    <x:row r="56" ht="54" customHeight="1">
      <x:c r="A56" s="56" t="str">
        <x:v>NFR-010</x:v>
      </x:c>
      <x:c r="B56" s="56" t="str">
        <x:v>GIS integrity</x:v>
      </x:c>
      <x:c r="C56" s="56" t="str">
        <x:v>Preserve source coordinate-reference metadata; all transformation parameters must be approved and logged. No fixed positional accuracy threshold is adopted until validated by the Survey Authority.</x:v>
      </x:c>
      <x:c r="D56" s="56" t="str">
        <x:v>NF</x:v>
      </x:c>
      <x:c r="E56" s="56" t="str">
        <x:v>Must</x:v>
      </x:c>
      <x:c r="F56" s="56" t="str">
        <x:v>Assessment §2.3 — Egypt 1907 / Red Belt and WGS 84 / UTM 36N data are described, with shifts of tens of metres; OI-04 requires approved transformation/accuracy validation.</x:v>
      </x:c>
      <x:c r="G56" s="56" t="str">
        <x:v>Compare transformed layers against approved control data and record residuals and exceptions.</x:v>
      </x:c>
      <x:c r="H56" s="56" t="str">
        <x:v>Needs decision / validation</x:v>
      </x:c>
      <x:c r="I56" s="56" t="str">
        <x:v>BO-03</x:v>
      </x:c>
      <x:c r="J56" s="56" t="str">
        <x:v>OI-04</x:v>
      </x:c>
      <x:c r="K56" s="56" t="str">
        <x:v>Provisional BA recommendation only. Preserve CRS metadata and require approved transformation QA; no fixed positional tolerance is approved. Resolve OI-04.</x:v>
      </x:c>
    </x:row>
    <x:row r="57" ht="54" customHeight="1">
      <x:c r="A57" s="56" t="str">
        <x:v>NFR-011</x:v>
      </x:c>
      <x:c r="B57" s="56" t="str">
        <x:v>Interfaces</x:v>
      </x:c>
      <x:c r="C57" s="56" t="str">
        <x:v>Any API or exchange mechanism must use an interface specification, owner, permissions, error handling, and support model agreed with the counterpart.</x:v>
      </x:c>
      <x:c r="D57" s="56" t="str">
        <x:v>NF</x:v>
      </x:c>
      <x:c r="E57" s="56" t="str">
        <x:v>Could</x:v>
      </x:c>
      <x:c r="F57" s="56" t="str">
        <x:v>Assessment §2.5 — Civil Registry integration requires ministry approval; utility verification is conditional on counterpart, security and data-sharing decisions under OI-09.</x:v>
      </x:c>
      <x:c r="G57" s="56" t="str">
        <x:v>Interface contract and end-to-end test after approval.</x:v>
      </x:c>
      <x:c r="H57" s="56" t="str">
        <x:v>Needs decision / validation</x:v>
      </x:c>
      <x:c r="I57" s="56" t="str">
        <x:v>BO-05; BO-07</x:v>
      </x:c>
      <x:c r="J57" s="56" t="str">
        <x:v>OI-09</x:v>
      </x:c>
      <x:c r="K57" s="56" t="str">
        <x:v>Provisional BA recommendation only because external interfaces are conditional on approval, counterpart agreement, security and data-sharing decisions under OI-09.</x:v>
      </x:c>
    </x:row>
    <x:row r="58" ht="54" customHeight="1">
      <x:c r="A58" s="56" t="str">
        <x:v>NFR-012</x:v>
      </x:c>
      <x:c r="B58" s="56" t="str">
        <x:v>Rule change</x:v>
      </x:c>
      <x:c r="C58" s="56" t="str">
        <x:v>Tariffs and approved business rules should be configurable with effective date, approver, and audit history where supported by governance.</x:v>
      </x:c>
      <x:c r="D58" s="56" t="str">
        <x:v>NF</x:v>
      </x:c>
      <x:c r="E58" s="56" t="str">
        <x:v>Should</x:v>
      </x:c>
      <x:c r="F58" s="56" t="str">
        <x:v>Assessment §2.4 — special street rates exist and extension-area tariffs are not set; configurable rule governance is proposed and requires policy/finance approval.</x:v>
      </x:c>
      <x:c r="G58" s="56" t="str">
        <x:v>Change a test rate/rule in a controlled environment and verify history and recalculation behaviour.</x:v>
      </x:c>
      <x:c r="H58" s="56" t="str">
        <x:v>Proposed</x:v>
      </x:c>
      <x:c r="I58" s="56" t="str">
        <x:v>BO-05; BO-07</x:v>
      </x:c>
      <x:c r="J58" s="56" t="str">
        <x:v>—</x:v>
      </x:c>
      <x:c r="K58" s="56" t="str">
        <x:v>Provisional BA recommendation only; configurable rules depend on approved tariff/policy governance and change permissions.</x:v>
      </x:c>
    </x:row>
    <x:row r="59" ht="54" customHeight="1">
      <x:c r="A59" s="56" t="str">
        <x:v>NFR-013</x:v>
      </x:c>
      <x:c r="B59" s="56" t="str">
        <x:v>Privacy</x:v>
      </x:c>
      <x:c r="C59" s="56" t="str">
        <x:v>Collect and expose only applicant information needed for the approved process; external verification must return only agreed fields.</x:v>
      </x:c>
      <x:c r="D59" s="56" t="str">
        <x:v>NF</x:v>
      </x:c>
      <x:c r="E59" s="56" t="str">
        <x:v>Must</x:v>
      </x:c>
      <x:c r="F59" s="56" t="str">
        <x:v>Assessment §§2.2.B, 2.3 includes national ID, ownership documents, photos and finance records, plus a data-residency constraint; specific privacy controls require IT/Legal validation.</x:v>
      </x:c>
      <x:c r="G59" s="56" t="str">
        <x:v>Data inventory, role access tests, and privacy review before external exchange.</x:v>
      </x:c>
      <x:c r="H59" s="56" t="str">
        <x:v>Needs decision / validation</x:v>
      </x:c>
      <x:c r="I59" s="56" t="str">
        <x:v>BO-07</x:v>
      </x:c>
      <x:c r="J59" s="56" t="str">
        <x:v>—</x:v>
      </x:c>
      <x:c r="K59" s="56" t="str">
        <x:v>Provisional BA recommendation only; specific privacy/security controls require validation by IT/Legal. Do not infer unprovided legal standards.</x:v>
      </x:c>
    </x:row>
    <x:row r="60" ht="54" customHeight="1">
      <x:c r="A60" s="56" t="str">
        <x:v>NFR-014</x:v>
      </x:c>
      <x:c r="B60" s="56" t="str">
        <x:v>Accessibility / assisted service</x:v>
      </x:c>
      <x:c r="C60" s="56" t="str">
        <x:v>The design must not assume all applicants can use the internet; define the approved assisted channel and usable fallback.</x:v>
      </x:c>
      <x:c r="D60" s="56" t="str">
        <x:v>NF</x:v>
      </x:c>
      <x:c r="E60" s="56" t="str">
        <x:v>Must</x:v>
      </x:c>
      <x:c r="F60" s="56" t="str">
        <x:v>Mr. Sayed versus Eng. Hesham, Assessment §2.5 — some applicants are elderly or cannot use the internet, while the sponsor prefers a portal; assisted-channel design remains open under OI-09.</x:v>
      </x:c>
      <x:c r="G60" s="56" t="str">
        <x:v>Complete an assisted registration with representative users and compare records with online intake when available.</x:v>
      </x:c>
      <x:c r="H60" s="56" t="str">
        <x:v>Needs decision / validation</x:v>
      </x:c>
      <x:c r="I60" s="56" t="str">
        <x:v>BO-06</x:v>
      </x:c>
      <x:c r="J60" s="56" t="str">
        <x:v>OI-09</x:v>
      </x:c>
      <x:c r="K60" s="56" t="str">
        <x:v>Provisional BA recommendation only, based on the explicit conflict between portal preference and applicants who cannot reliably use online services. Confirm assisted-channel design under OI-09.</x:v>
      </x:c>
    </x:row>
  </x:sheetData>
  <x:mergeCells>
    <x:mergeCell ref="A1:K1"/>
    <x:mergeCell ref="A2:K2"/>
  </x:mergeCells>
  <x:conditionalFormatting sqref="H5:H60">
    <x:cfRule type="expression" dxfId="0" priority="1">
      <x:formula>H5="Needs decision / validation"</x:formula>
    </x:cfRule>
    <x:cfRule type="expression" dxfId="1" priority="2">
      <x:formula>H5="Proposed"</x:formula>
    </x:cfRule>
  </x:conditionalFormatting>
  <x:conditionalFormatting sqref="E5:E60">
    <x:cfRule type="expression" dxfId="2" priority="3">
      <x:formula>E5="Must"</x:formula>
    </x:cfRule>
  </x:conditionalFormatting>
  <x:dataValidations count="2">
    <x:dataValidation type="list" sqref="E5:E60">
      <x:formula1>"Must,Should,Could,Won't,TBD — not assigned in BRD"</x:formula1>
    </x:dataValidation>
    <x:dataValidation type="list" sqref="H5:H60">
      <x:formula1>"Source-supported basis,Proposed,Needs decision / validation,Mixed: source need; solution proposed"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d3b6339e5041b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34" hidden="0" customWidth="1"/>
    <x:col min="5" max="5" width="56" hidden="0" customWidth="1"/>
    <x:col min="6" max="6" width="27" hidden="0" customWidth="1"/>
  </x:cols>
  <x:sheetData>
    <x:row r="1" ht="32" customHeight="1">
      <x:c r="A1" s="5" t="str">
        <x:v>BVDRS | Business Objectives, KPIs &amp; Capacity Check</x:v>
      </x:c>
      <x:c r="B1" s="5"/>
      <x:c r="C1" s="5"/>
      <x:c r="D1" s="5"/>
      <x:c r="E1" s="5"/>
      <x:c r="F1" s="5"/>
    </x:row>
    <x:row r="2" ht="34" customHeight="1">
      <x:c r="A2" s="14" t="str">
        <x:v>Objectives and baselines derived from the company assessment. Targets not approved by the source are explicitly marked TBD. Capacity calculation is illustrative and depends on OI-01.</x:v>
      </x:c>
      <x:c r="B2" s="14"/>
      <x:c r="C2" s="14"/>
      <x:c r="D2" s="14"/>
      <x:c r="E2" s="14"/>
      <x:c r="F2" s="14"/>
    </x:row>
    <x:row r="4" ht="36" customHeight="1">
      <x:c r="A4" s="24" t="str">
        <x:v>Objective ID</x:v>
      </x:c>
      <x:c r="B4" s="24" t="str">
        <x:v>Business Objective</x:v>
      </x:c>
      <x:c r="C4" s="24" t="str">
        <x:v>Baseline / Current Situation</x:v>
      </x:c>
      <x:c r="D4" s="24" t="str">
        <x:v>Stakeholder Statement / Evidence</x:v>
      </x:c>
      <x:c r="E4" s="24" t="str">
        <x:v>KPI / Target Treatment</x:v>
      </x:c>
      <x:c r="F4" s="24" t="str">
        <x:v>Open Issue(s)</x:v>
      </x:c>
    </x:row>
    <x:row r="5" ht="78" customHeight="1">
      <x:c r="A5" s="32" t="str">
        <x:v>BO-01</x:v>
      </x:c>
      <x:c r="B5" s="32" t="str">
        <x:v>Improve detection and triage of potential new building violations</x:v>
      </x:c>
      <x:c r="C5" s="32" t="str">
        <x:v>Current: quarterly 50 cm imagery; 4 GIS analysts perform manual comparison in ArcGIS Pro over about 6 weeks per quarter. Approx. 6,200 new violations were detected last year.</x:v>
      </x:c>
      <x:c r="D5" s="32" t="str">
        <x:v>Sponsor requests weekly automatic detection; GIS lead says current imagery arrives every three months and weekly imagery needs a new contract/budget.</x:v>
      </x:c>
      <x:c r="E5" s="32" t="str">
        <x:v>No approved target yet. Baseline cadence remains quarterly until imagery supply and funding are decided.</x:v>
      </x:c>
      <x:c r="F5" s="32" t="str">
        <x:v>OI-03</x:v>
      </x:c>
    </x:row>
    <x:row r="6" ht="78" customHeight="1">
      <x:c r="A6" s="32" t="str">
        <x:v>BO-02</x:v>
      </x:c>
      <x:c r="B6" s="32" t="str">
        <x:v>Manage reconciliation applications end to end with visible status and accountable handoffs</x:v>
      </x:c>
      <x:c r="C6" s="32" t="str">
        <x:v>Approx. 38,000 pending applications and approx. 1,500 new applications per month. Citizens return weekly asking for status.</x:v>
      </x:c>
      <x:c r="D6" s="32" t="str">
        <x:v>Sayed: citizens return weekly asking “what happened to my file?”</x:v>
      </x:c>
      <x:c r="E6" s="32" t="str">
        <x:v>Define a measurable case-status service target during discovery; no unapproved SLA included.</x:v>
      </x:c>
      <x:c r="F6" s="32" t="str">
        <x:v>OI-01; OI-10; OI-12</x:v>
      </x:c>
    </x:row>
    <x:row r="7" ht="78" customHeight="1">
      <x:c r="A7" s="32" t="str">
        <x:v>BO-03</x:v>
      </x:c>
      <x:c r="B7" s="32" t="str">
        <x:v>Improve spatial locating, screening, and GIS data reliability</x:v>
      </x:c>
      <x:c r="C7" s="32" t="str">
        <x:v>About 60% of buildings in informal areas/villages lack reliable parcel geometry; older and newer layers use different coordinate systems and shifts of tens of metres are reported.</x:v>
      </x:c>
      <x:c r="D7" s="32" t="str">
        <x:v>Mona: engineers spend half their time finding buildings and wants location capture on a map. Ahmed: layers do not line up due to coordinate systems.</x:v>
      </x:c>
      <x:c r="E7" s="32" t="str">
        <x:v>Define baseline and measurable target after layer QA and Survey Authority validation.</x:v>
      </x:c>
      <x:c r="F7" s="32" t="str">
        <x:v>OI-04</x:v>
      </x:c>
    </x:row>
    <x:row r="8" ht="78" customHeight="1">
      <x:c r="A8" s="32" t="str">
        <x:v>BO-04</x:v>
      </x:c>
      <x:c r="B8" s="32" t="str">
        <x:v>Give leadership and operations a reliable view of backlog, throughput, collections, and follow-up</x:v>
      </x:c>
      <x:c r="C8" s="32" t="str">
        <x:v>3 committees x approx. 80 files per weekly meeting = approx. 240 files/week current stated committee throughput.</x:v>
      </x:c>
      <x:c r="D8" s="32" t="str">
        <x:v>Hesham requests a map dashboard covering violations by district, applications, collections, and removals.</x:v>
      </x:c>
      <x:c r="E8" s="32" t="str">
        <x:v>Dashboard definitions and targets to be approved. The six-month target requires capacity decisions.</x:v>
      </x:c>
      <x:c r="F8" s="32" t="str">
        <x:v>OI-01</x:v>
      </x:c>
    </x:row>
    <x:row r="9" ht="78" customHeight="1">
      <x:c r="A9" s="32" t="str">
        <x:v>BO-05</x:v>
      </x:c>
      <x:c r="B9" s="32" t="str">
        <x:v>Improve tariff, fee, deposit, and instalment traceability</x:v>
      </x:c>
      <x:c r="C9" s="32" t="str">
        <x:v>Finance calculates manually. Payment can be full or in instalments up to 36 months. Finance reports no current way to follow up late payments. Extension-area rates are not set; special street rates may vary.</x:v>
      </x:c>
      <x:c r="D9" s="32" t="str">
        <x:v>Nagwa: many citizens pay in instalments; there is no way to follow up late payments. Deposit refund treatment is disputed.</x:v>
      </x:c>
      <x:c r="E9" s="32" t="str">
        <x:v>Track approved tariffs and payments; exact deposit/refund, arrears, and certificate rules require approval.</x:v>
      </x:c>
      <x:c r="F9" s="32" t="str">
        <x:v>OI-05; OI-06; OI-08</x:v>
      </x:c>
    </x:row>
    <x:row r="10" ht="78" customHeight="1">
      <x:c r="A10" s="32" t="str">
        <x:v>BO-06</x:v>
      </x:c>
      <x:c r="B10" s="32" t="str">
        <x:v>Provide accessible service under weak-connectivity conditions</x:v>
      </x:c>
      <x:c r="C10" s="32" t="str">
        <x:v>Two technical centres and most village field locations have weak or unstable internet; applicants may be elderly or represented by lawyers/agents.</x:v>
      </x:c>
      <x:c r="D10" s="32" t="str">
        <x:v>Sayed says online-only will not work. Walid says village-office internet goes down often.</x:v>
      </x:c>
      <x:c r="E10" s="32" t="str">
        <x:v>Channel policy, permitted devices, and offline targets require confirmation.</x:v>
      </x:c>
      <x:c r="F10" s="32" t="str">
        <x:v>OI-09; OI-11</x:v>
      </x:c>
    </x:row>
    <x:row r="11" ht="78" customHeight="1">
      <x:c r="A11" s="32" t="str">
        <x:v>BO-07</x:v>
      </x:c>
      <x:c r="B11" s="32" t="str">
        <x:v>Strengthen the auditability of regulatory decisions and formal follow-up</x:v>
      </x:c>
      <x:c r="C11" s="32" t="str">
        <x:v>Current process relies on paper reports, local Excel sheets, paper appeals, and letters to utility companies.</x:v>
      </x:c>
      <x:c r="D11" s="32" t="str">
        <x:v>Adel: appeal can be filed within 30 days from notification; removal decisions require formal notice before execution.</x:v>
      </x:c>
      <x:c r="E11" s="32" t="str">
        <x:v>Define authoritative notification evidence, appeal effect, and authorised follow-up workflow before configuring timers/actions.</x:v>
      </x:c>
      <x:c r="F11" s="32" t="str">
        <x:v>OI-07; OI-08</x:v>
      </x:c>
    </x:row>
    <x:row r="14" ht="30" customHeight="1">
      <x:c r="A14" s="36" t="str">
        <x:v>Illustrative Operational Capacity Check — validate assumptions before using as a committed target</x:v>
      </x:c>
      <x:c r="B14" s="36"/>
      <x:c r="C14" s="36"/>
      <x:c r="D14" s="36"/>
      <x:c r="E14" s="36"/>
      <x:c r="F14" s="36"/>
    </x:row>
    <x:row r="16" ht="36" customHeight="1">
      <x:c r="A16" s="24" t="str">
        <x:v>Input / Metric</x:v>
      </x:c>
      <x:c r="B16" s="24" t="str">
        <x:v>Value</x:v>
      </x:c>
      <x:c r="C16" s="24" t="str">
        <x:v>Unit / Formula</x:v>
      </x:c>
      <x:c r="D16" s="24" t="str">
        <x:v>Source / Calculation</x:v>
      </x:c>
      <x:c r="E16" s="24" t="str">
        <x:v>Interpretation / Caveat</x:v>
      </x:c>
      <x:c r="F16" s="24" t="str">
        <x:v>Status</x:v>
      </x:c>
    </x:row>
    <x:row r="17" ht="45" customHeight="1">
      <x:c r="A17" s="32" t="str">
        <x:v>Pending reconciliation applications</x:v>
      </x:c>
      <x:c r="B17" s="32" t="n">
        <x:v>38000</x:v>
      </x:c>
      <x:c r="C17" s="32" t="str">
        <x:v>applications</x:v>
      </x:c>
      <x:c r="D17" s="32" t="str">
        <x:v>Assessment §2.3</x:v>
      </x:c>
      <x:c r="E17" s="32" t="str">
        <x:v>Approximate current backlog; scope/population must be reconciled with paper archive.</x:v>
      </x:c>
      <x:c r="F17" s="32" t="str">
        <x:v>Source-stated approximate</x:v>
      </x:c>
    </x:row>
    <x:row r="18" ht="45" customHeight="1">
      <x:c r="A18" s="32" t="str">
        <x:v>New applications received</x:v>
      </x:c>
      <x:c r="B18" s="32" t="n">
        <x:v>1500</x:v>
      </x:c>
      <x:c r="C18" s="32" t="str">
        <x:v>applications / month</x:v>
      </x:c>
      <x:c r="D18" s="32" t="str">
        <x:v>Assessment §2.3</x:v>
      </x:c>
      <x:c r="E18" s="32" t="str">
        <x:v>Assumes intake continues during the illustrative six-month horizon.</x:v>
      </x:c>
      <x:c r="F18" s="32" t="str">
        <x:v>Source-stated approximate</x:v>
      </x:c>
    </x:row>
    <x:row r="19" ht="45" customHeight="1">
      <x:c r="A19" s="32" t="str">
        <x:v>Planning horizon</x:v>
      </x:c>
      <x:c r="B19" s="32" t="n">
        <x:v>6</x:v>
      </x:c>
      <x:c r="C19" s="32" t="str">
        <x:v>months</x:v>
      </x:c>
      <x:c r="D19" s="32" t="str">
        <x:v>Sponsor statement / Assessment §2.5</x:v>
      </x:c>
      <x:c r="E19" s="32" t="str">
        <x:v>Sponsor commitment stated as backlog decided within six months; interpretation needs confirmation.</x:v>
      </x:c>
      <x:c r="F19" s="32" t="str">
        <x:v>OI-01</x:v>
      </x:c>
    </x:row>
    <x:row r="20" ht="45" customHeight="1">
      <x:c r="A20" s="32" t="str">
        <x:v>Weeks in planning horizon</x:v>
      </x:c>
      <x:c r="B20" s="32" t="n">
        <x:v>26</x:v>
      </x:c>
      <x:c r="C20" s="32" t="str">
        <x:v>weeks</x:v>
      </x:c>
      <x:c r="D20" s="32" t="str">
        <x:v>Illustrative assumption</x:v>
      </x:c>
      <x:c r="E20" s="32" t="str">
        <x:v>Approximate six-month comparison window; confirm exact operational calendar.</x:v>
      </x:c>
      <x:c r="F20" s="32" t="str">
        <x:v>Derived assumption</x:v>
      </x:c>
    </x:row>
    <x:row r="21" ht="45" customHeight="1">
      <x:c r="A21" s="32" t="str">
        <x:v>Reconciliation committees</x:v>
      </x:c>
      <x:c r="B21" s="32" t="n">
        <x:v>3</x:v>
      </x:c>
      <x:c r="C21" s="32" t="str">
        <x:v>committees</x:v>
      </x:c>
      <x:c r="D21" s="32" t="str">
        <x:v>Assessment §2.3</x:v>
      </x:c>
      <x:c r="E21" s="32" t="str">
        <x:v>Each committee meets once a week.</x:v>
      </x:c>
      <x:c r="F21" s="32" t="str">
        <x:v>Source-stated</x:v>
      </x:c>
    </x:row>
    <x:row r="22" ht="45" customHeight="1">
      <x:c r="A22" s="32" t="str">
        <x:v>Files per committee per meeting</x:v>
      </x:c>
      <x:c r="B22" s="32" t="n">
        <x:v>80</x:v>
      </x:c>
      <x:c r="C22" s="32" t="str">
        <x:v>files / committee / week</x:v>
      </x:c>
      <x:c r="D22" s="32" t="str">
        <x:v>Assessment §2.3</x:v>
      </x:c>
      <x:c r="E22" s="32" t="str">
        <x:v>Stated approximate throughput per committee meeting.</x:v>
      </x:c>
      <x:c r="F22" s="32" t="str">
        <x:v>Source-stated approximate</x:v>
      </x:c>
    </x:row>
    <x:row r="23" ht="45" customHeight="1">
      <x:c r="A23" s="44" t="str">
        <x:v>Illustrative workload incl. new intake</x:v>
      </x:c>
      <x:c r="B23" s="44" t="n">
        <x:f>B17+B18*B19</x:f>
        <x:v>47000</x:v>
      </x:c>
      <x:c r="C23" s="44" t="str">
        <x:v>applications</x:v>
      </x:c>
      <x:c r="D23" s="44" t="str">
        <x:v>Backlog + new applications/month × months</x:v>
      </x:c>
      <x:c r="E23" s="44" t="str">
        <x:v>Assumes all 1,500 monthly incoming applications are within the six-month decision target; verify this interpretation.</x:v>
      </x:c>
      <x:c r="F23" s="44" t="str">
        <x:v>Calculated; OI-01</x:v>
      </x:c>
    </x:row>
    <x:row r="24" ht="45" customHeight="1">
      <x:c r="A24" s="44" t="str">
        <x:v>Required decisions per week</x:v>
      </x:c>
      <x:c r="B24" s="44" t="n">
        <x:f>B23/B20</x:f>
        <x:v>1807.6923076923076</x:v>
      </x:c>
      <x:c r="C24" s="44" t="str">
        <x:v>applications / week</x:v>
      </x:c>
      <x:c r="D24" s="44" t="str">
        <x:v>Illustrative workload ÷ weeks</x:v>
      </x:c>
      <x:c r="E24" s="44" t="str">
        <x:v>Derived required rate under assumptions above; not an approved operational target.</x:v>
      </x:c>
      <x:c r="F24" s="44" t="str">
        <x:v>Calculated; OI-01</x:v>
      </x:c>
    </x:row>
    <x:row r="25" ht="45" customHeight="1">
      <x:c r="A25" s="44" t="str">
        <x:v>Current committee capacity per week</x:v>
      </x:c>
      <x:c r="B25" s="44" t="n">
        <x:f>B21*B22</x:f>
        <x:v>240</x:v>
      </x:c>
      <x:c r="C25" s="44" t="str">
        <x:v>applications / week</x:v>
      </x:c>
      <x:c r="D25" s="44" t="str">
        <x:v>Committees × files per meeting</x:v>
      </x:c>
      <x:c r="E25" s="44" t="str">
        <x:v>Assumes all three committees meet weekly and figures are comparable.</x:v>
      </x:c>
      <x:c r="F25" s="44" t="str">
        <x:v>Calculated from source figures</x:v>
      </x:c>
    </x:row>
    <x:row r="26" ht="45" customHeight="1">
      <x:c r="A26" s="44" t="str">
        <x:v>Weekly capacity gap</x:v>
      </x:c>
      <x:c r="B26" s="44" t="n">
        <x:f>B24-B25</x:f>
        <x:v>1567.6923076923076</x:v>
      </x:c>
      <x:c r="C26" s="44" t="str">
        <x:v>applications / week</x:v>
      </x:c>
      <x:c r="D26" s="44" t="str">
        <x:v>Required decisions/week − current capacity</x:v>
      </x:c>
      <x:c r="E26" s="44" t="str">
        <x:v>Illustrative gap; not a probability of failure.</x:v>
      </x:c>
      <x:c r="F26" s="44" t="str">
        <x:v>Calculated; OI-01</x:v>
      </x:c>
    </x:row>
    <x:row r="27" ht="45" customHeight="1">
      <x:c r="A27" s="44" t="str">
        <x:v>Current capacity / required capacity</x:v>
      </x:c>
      <x:c r="B27" s="45" t="n">
        <x:f>B25/B24</x:f>
        <x:v>0.13276595744680852</x:v>
      </x:c>
      <x:c r="C27" s="44" t="str">
        <x:v>percentage</x:v>
      </x:c>
      <x:c r="D27" s="44" t="str">
        <x:v>Current capacity ÷ required decisions</x:v>
      </x:c>
      <x:c r="E27" s="44" t="str">
        <x:v>Relative coverage of illustrative required workload.</x:v>
      </x:c>
      <x:c r="F27" s="44" t="str">
        <x:v>Calculated; OI-01</x:v>
      </x:c>
    </x:row>
    <x:row r="28" ht="45" customHeight="1">
      <x:c r="A28" s="44" t="str">
        <x:v>Required throughput multiple</x:v>
      </x:c>
      <x:c r="B28" s="46" t="n">
        <x:f>B24/B25</x:f>
        <x:v>7.532051282051282</x:v>
      </x:c>
      <x:c r="C28" s="44" t="str">
        <x:v>x current capacity</x:v>
      </x:c>
      <x:c r="D28" s="44" t="str">
        <x:v>Required decisions/week ÷ current capacity/week</x:v>
      </x:c>
      <x:c r="E28" s="44" t="str">
        <x:v>Additional operating capacity or a revised plan is needed if assumptions hold.</x:v>
      </x:c>
      <x:c r="F28" s="44" t="str">
        <x:v>Calculated; OI-01</x:v>
      </x:c>
    </x:row>
    <x:row r="29" ht="45" customHeight="1">
      <x:c r="A29" s="44" t="str">
        <x:v>Incoming applications average per week</x:v>
      </x:c>
      <x:c r="B29" s="44" t="n">
        <x:f>B18*12/52</x:f>
        <x:v>346.15384615384613</x:v>
      </x:c>
      <x:c r="C29" s="44" t="str">
        <x:v>applications / week</x:v>
      </x:c>
      <x:c r="D29" s="44" t="str">
        <x:v>Monthly intake × 12 ÷ 52</x:v>
      </x:c>
      <x:c r="E29" s="44" t="str">
        <x:v>Illustrative average; current stated capacity may be lower than new inflow if measures are comparable.</x:v>
      </x:c>
      <x:c r="F29" s="44" t="str">
        <x:v>Calculated from source figures</x:v>
      </x:c>
    </x:row>
  </x:sheetData>
  <x:mergeCells>
    <x:mergeCell ref="A1:F1"/>
    <x:mergeCell ref="A2:F2"/>
    <x:mergeCell ref="A14:F14"/>
  </x:mergeCells>
  <x:pageMargins left="0.7" right="0.7" top="0.75" bottom="0.75" header="0.3" footer="0.3"/>
  <x:tableParts count="1">
    <x:tablePart xmlns:r="http://schemas.openxmlformats.org/officeDocument/2006/relationships" r:id="Reb836613eb8e4ce1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42" hidden="0" customWidth="1"/>
    <x:col min="5" max="5" width="35" hidden="0" customWidth="1"/>
    <x:col min="6" max="6" width="58" hidden="0" customWidth="1"/>
    <x:col min="7" max="7" width="52" hidden="0" customWidth="1"/>
    <x:col min="8" max="8" width="28" hidden="0" customWidth="1"/>
    <x:col min="9" max="9" width="36" hidden="0" customWidth="1"/>
    <x:col min="10" max="10" width="16" hidden="0" customWidth="1"/>
  </x:cols>
  <x:sheetData>
    <x:row r="1" ht="32" customHeight="1">
      <x:c r="A1" s="5" t="str">
        <x:v>BVDRS | Requirements Traceability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4" t="str">
        <x:v>26 meaningful source links (exceeds the required minimum of 10). Each row connects a specific requirement to a business objective and a named stakeholder statement/current-state evidence. An explicit objective or source gap remains an Open Issue rather than being inferred as approved.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6" customHeight="1">
      <x:c r="A4" s="24" t="str">
        <x:v>Trace ID</x:v>
      </x:c>
      <x:c r="B4" s="24" t="str">
        <x:v>Requirement ID</x:v>
      </x:c>
      <x:c r="C4" s="24" t="str">
        <x:v>Objective ID</x:v>
      </x:c>
      <x:c r="D4" s="24" t="str">
        <x:v>Business Objective</x:v>
      </x:c>
      <x:c r="E4" s="24" t="str">
        <x:v>Stakeholder / Source</x:v>
      </x:c>
      <x:c r="F4" s="24" t="str">
        <x:v>Stakeholder Statement / Evidence</x:v>
      </x:c>
      <x:c r="G4" s="24" t="str">
        <x:v>Traceability Rationale</x:v>
      </x:c>
      <x:c r="H4" s="24" t="str">
        <x:v>Source Reference</x:v>
      </x:c>
      <x:c r="I4" s="24" t="str">
        <x:v>Relationship Status</x:v>
      </x:c>
      <x:c r="J4" s="24" t="str">
        <x:v>Open Issue(s)</x:v>
      </x:c>
    </x:row>
    <x:row r="5" ht="80" customHeight="1">
      <x:c r="A5" s="56" t="str">
        <x:v>TR-001</x:v>
      </x:c>
      <x:c r="B5" s="56" t="str">
        <x:v>FR-DET-001</x:v>
      </x:c>
      <x:c r="C5" s="56" t="str">
        <x:v>BO-01</x:v>
      </x:c>
      <x:c r="D5" s="56" t="str">
        <x:v>Improve detection and triage of potential new violations</x:v>
      </x:c>
      <x:c r="E5" s="56" t="str">
        <x:v>Eng. Ahmed / Eng. Hesham</x:v>
      </x:c>
      <x:c r="F5" s="56" t="str">
        <x:v>Ahmed: imagery arrives every three months; weekly imagery would need a new contract and budget. Hesham requests weekly automatic detection.</x:v>
      </x:c>
      <x:c r="G5" s="56" t="str">
        <x:v>Registering image provenance supports controlled comparison and makes imagery cadence/source visible.</x:v>
      </x:c>
      <x:c r="H5" s="56" t="str">
        <x:v>Assessment §§2.2.A, 2.5; FR source/status in BRD</x:v>
      </x:c>
      <x:c r="I5" s="56" t="str">
        <x:v>Direct need; future cadence unresolved</x:v>
      </x:c>
      <x:c r="J5" s="56" t="str">
        <x:v>OI-03</x:v>
      </x:c>
    </x:row>
    <x:row r="6" ht="80" customHeight="1">
      <x:c r="A6" s="56" t="str">
        <x:v>TR-002</x:v>
      </x:c>
      <x:c r="B6" s="56" t="str">
        <x:v>FR-DET-003</x:v>
      </x:c>
      <x:c r="C6" s="56" t="str">
        <x:v>BO-01</x:v>
      </x:c>
      <x:c r="D6" s="56" t="str">
        <x:v>Improve detection and triage of potential new violations</x:v>
      </x:c>
      <x:c r="E6" s="56" t="str">
        <x:v>Eng. Hesham / Eng. Ahmed</x:v>
      </x:c>
      <x:c r="F6" s="56" t="str">
        <x:v>Hesham requests automatic satellite-image detection; Ahmed identifies quarterly input cadence and budget constraints.</x:v>
      </x:c>
      <x:c r="G6" s="56" t="str">
        <x:v>Comparison capability supports candidate generation but does not commit to weekly delivery or an SLA.</x:v>
      </x:c>
      <x:c r="H6" s="56" t="str">
        <x:v>Assessment §§2.2.A, 2.5</x:v>
      </x:c>
      <x:c r="I6" s="56" t="str">
        <x:v>Proposed capability</x:v>
      </x:c>
      <x:c r="J6" s="56" t="str">
        <x:v>OI-03</x:v>
      </x:c>
    </x:row>
    <x:row r="7" ht="80" customHeight="1">
      <x:c r="A7" s="56" t="str">
        <x:v>TR-003</x:v>
      </x:c>
      <x:c r="B7" s="56" t="str">
        <x:v>FR-DET-004</x:v>
      </x:c>
      <x:c r="C7" s="56" t="str">
        <x:v>BO-01</x:v>
      </x:c>
      <x:c r="D7" s="56" t="str">
        <x:v>Improve detection and triage of potential new violations</x:v>
      </x:c>
      <x:c r="E7" s="56" t="str">
        <x:v>GIS Unit / current AS-IS</x:v>
      </x:c>
      <x:c r="F7" s="56" t="str">
        <x:v>Current GIS analysts visually compare imagery, mark suspected buildings, and dispatch locations for field checks.</x:v>
      </x:c>
      <x:c r="G7" s="56" t="str">
        <x:v>Human review gate preserves analyst validation before field dispatch.</x:v>
      </x:c>
      <x:c r="H7" s="56" t="str">
        <x:v>Assessment §2.2.A</x:v>
      </x:c>
      <x:c r="I7" s="56" t="str">
        <x:v>Proposed control grounded in current workflow</x:v>
      </x:c>
      <x:c r="J7" s="56" t="str"/>
    </x:row>
    <x:row r="8" ht="80" customHeight="1">
      <x:c r="A8" s="56" t="str">
        <x:v>TR-004</x:v>
      </x:c>
      <x:c r="B8" s="56" t="str">
        <x:v>FR-FLD-001</x:v>
      </x:c>
      <x:c r="C8" s="56" t="str">
        <x:v>BO-03</x:v>
      </x:c>
      <x:c r="D8" s="56" t="str">
        <x:v>Improve spatial locating, screening, and GIS data reliability</x:v>
      </x:c>
      <x:c r="E8" s="56" t="str">
        <x:v>Eng. Mona, Head of Engineering and Planning</x:v>
      </x:c>
      <x:c r="F8" s="56" t="str">
        <x:v>Mona: no decision can be made without a site inspection by an engineer.</x:v>
      </x:c>
      <x:c r="G8" s="56" t="str">
        <x:v>Assigned inspection tickets support the stated inspection step; they do not remove the site-visit requirement.</x:v>
      </x:c>
      <x:c r="H8" s="56" t="str">
        <x:v>Assessment §§2.2.A, 2.5</x:v>
      </x:c>
      <x:c r="I8" s="56" t="str">
        <x:v>Source-supported business need; system design proposed</x:v>
      </x:c>
      <x:c r="J8" s="56" t="str">
        <x:v>OI-02</x:v>
      </x:c>
    </x:row>
    <x:row r="9" ht="80" customHeight="1">
      <x:c r="A9" s="56" t="str">
        <x:v>TR-005</x:v>
      </x:c>
      <x:c r="B9" s="56" t="str">
        <x:v>FR-FLD-004</x:v>
      </x:c>
      <x:c r="C9" s="56" t="str">
        <x:v>BO-06</x:v>
      </x:c>
      <x:c r="D9" s="56" t="str">
        <x:v>Provide accessible service under weak-connectivity conditions</x:v>
      </x:c>
      <x:c r="E9" s="56" t="str">
        <x:v>Mr. Walid, Governorate IT Manager</x:v>
      </x:c>
      <x:c r="F9" s="56" t="str">
        <x:v>Walid: internet in village offices goes down often; field engineers cannot depend on it.</x:v>
      </x:c>
      <x:c r="G9" s="56" t="str">
        <x:v>Offline capture is a proposed response; device/security/sync design needs validation.</x:v>
      </x:c>
      <x:c r="H9" s="56" t="str">
        <x:v>Assessment §§2.3, 2.5</x:v>
      </x:c>
      <x:c r="I9" s="56" t="str">
        <x:v>Proposed; technical validation required</x:v>
      </x:c>
      <x:c r="J9" s="56" t="str">
        <x:v>OI-11</x:v>
      </x:c>
    </x:row>
    <x:row r="10" ht="80" customHeight="1">
      <x:c r="A10" s="56" t="str">
        <x:v>TR-006</x:v>
      </x:c>
      <x:c r="B10" s="56" t="str">
        <x:v>FR-APP-001</x:v>
      </x:c>
      <x:c r="C10" s="56" t="str">
        <x:v>BO-02</x:v>
      </x:c>
      <x:c r="D10" s="56" t="str">
        <x:v>Manage applications end to end with visible status and accountable handoffs</x:v>
      </x:c>
      <x:c r="E10" s="56" t="str">
        <x:v>Current reconciliation process</x:v>
      </x:c>
      <x:c r="F10" s="56" t="str">
        <x:v>Owner or lawyer/agent with a power of attorney visits one of four technical centres with a paper file.</x:v>
      </x:c>
      <x:c r="G10" s="56" t="str">
        <x:v>Unique case references provide a consistent way to track a case across offices.</x:v>
      </x:c>
      <x:c r="H10" s="56" t="str">
        <x:v>Assessment §2.2.B</x:v>
      </x:c>
      <x:c r="I10" s="56" t="str">
        <x:v>Proposed capability</x:v>
      </x:c>
      <x:c r="J10" s="56" t="str">
        <x:v>OI-09</x:v>
      </x:c>
    </x:row>
    <x:row r="11" ht="80" customHeight="1">
      <x:c r="A11" s="56" t="str">
        <x:v>TR-007</x:v>
      </x:c>
      <x:c r="B11" s="56" t="str">
        <x:v>FR-APP-002</x:v>
      </x:c>
      <x:c r="C11" s="56" t="str">
        <x:v>BO-02</x:v>
      </x:c>
      <x:c r="D11" s="56" t="str">
        <x:v>Manage applications end to end with visible status and accountable handoffs</x:v>
      </x:c>
      <x:c r="E11" s="56" t="str">
        <x:v>Current reconciliation process</x:v>
      </x:c>
      <x:c r="F11" s="56" t="str">
        <x:v>The paper file includes ownership documents, national ID, structural safety report, building photos, and a site sketch.</x:v>
      </x:c>
      <x:c r="G11" s="56" t="str">
        <x:v>The requirement structures the documented checklist; any document-policy change requires approval.</x:v>
      </x:c>
      <x:c r="H11" s="56" t="str">
        <x:v>Assessment §2.2.B</x:v>
      </x:c>
      <x:c r="I11" s="56" t="str">
        <x:v>Source-supported document types; digital handling proposed</x:v>
      </x:c>
      <x:c r="J11" s="56" t="str"/>
    </x:row>
    <x:row r="12" ht="80" customHeight="1">
      <x:c r="A12" s="56" t="str">
        <x:v>TR-008</x:v>
      </x:c>
      <x:c r="B12" s="56" t="str">
        <x:v>FR-APP-004</x:v>
      </x:c>
      <x:c r="C12" s="56" t="str">
        <x:v>BO-03</x:v>
      </x:c>
      <x:c r="D12" s="56" t="str">
        <x:v>Improve spatial locating, screening, and GIS data reliability</x:v>
      </x:c>
      <x:c r="E12" s="56" t="str">
        <x:v>Eng. Mona, Head of Engineering and Planning</x:v>
      </x:c>
      <x:c r="F12" s="56" t="str">
        <x:v>Mona: if the citizen could point to the building on a map when applying, it would save a lot of time finding it.</x:v>
      </x:c>
      <x:c r="G12" s="56" t="str">
        <x:v>Map-based location capture is proposed; it must not imply a verified cadastral parcel where none exists.</x:v>
      </x:c>
      <x:c r="H12" s="56" t="str">
        <x:v>Assessment §2.5; §2.3</x:v>
      </x:c>
      <x:c r="I12" s="56" t="str">
        <x:v>Proposed</x:v>
      </x:c>
      <x:c r="J12" s="56" t="str"/>
    </x:row>
    <x:row r="13" ht="80" customHeight="1">
      <x:c r="A13" s="56" t="str">
        <x:v>TR-009</x:v>
      </x:c>
      <x:c r="B13" s="56" t="str">
        <x:v>FR-APP-005</x:v>
      </x:c>
      <x:c r="C13" s="56" t="str">
        <x:v>BO-02</x:v>
      </x:c>
      <x:c r="D13" s="56" t="str">
        <x:v>Manage applications end to end with visible status and accountable handoffs</x:v>
      </x:c>
      <x:c r="E13" s="56" t="str">
        <x:v>Mr. Sayed, Technical Centres Manager</x:v>
      </x:c>
      <x:c r="F13" s="56" t="str">
        <x:v>Sayed: citizens come back every week asking “what happened to my file?”</x:v>
      </x:c>
      <x:c r="G13" s="56" t="str">
        <x:v>Status history and authorised status visibility address transparency and handoff tracking.</x:v>
      </x:c>
      <x:c r="H13" s="56" t="str">
        <x:v>Assessment §2.5</x:v>
      </x:c>
      <x:c r="I13" s="56" t="str">
        <x:v>Proposed</x:v>
      </x:c>
      <x:c r="J13" s="56" t="str"/>
    </x:row>
    <x:row r="14" ht="80" customHeight="1">
      <x:c r="A14" s="56" t="str">
        <x:v>TR-010</x:v>
      </x:c>
      <x:c r="B14" s="56" t="str">
        <x:v>FR-APP-006</x:v>
      </x:c>
      <x:c r="C14" s="56" t="str">
        <x:v>BO-06</x:v>
      </x:c>
      <x:c r="D14" s="56" t="str">
        <x:v>Provide accessible service under weak-connectivity conditions</x:v>
      </x:c>
      <x:c r="E14" s="56" t="str">
        <x:v>Eng. Hesham / Mr. Sayed</x:v>
      </x:c>
      <x:c r="F14" s="56" t="str">
        <x:v>Hesham wants portal-based online applications; Sayed says many applicants are elderly or cannot use the internet and online-only will not work.</x:v>
      </x:c>
      <x:c r="G14" s="56" t="str">
        <x:v>The channel requirement remains subject to resolving the sponsor/operations conflict.</x:v>
      </x:c>
      <x:c r="H14" s="56" t="str">
        <x:v>Assessment §2.5</x:v>
      </x:c>
      <x:c r="I14" s="56" t="str">
        <x:v>Decision required</x:v>
      </x:c>
      <x:c r="J14" s="56" t="str">
        <x:v>OI-09</x:v>
      </x:c>
    </x:row>
    <x:row r="15" ht="80" customHeight="1">
      <x:c r="A15" s="56" t="str">
        <x:v>TR-011</x:v>
      </x:c>
      <x:c r="B15" s="56" t="str">
        <x:v>FR-GIS-002</x:v>
      </x:c>
      <x:c r="C15" s="56" t="str">
        <x:v>BO-03</x:v>
      </x:c>
      <x:c r="D15" s="56" t="str">
        <x:v>Improve spatial locating, screening, and GIS data reliability</x:v>
      </x:c>
      <x:c r="E15" s="56" t="str">
        <x:v>Eng. Mona, Head of Engineering and Planning</x:v>
      </x:c>
      <x:c r="F15" s="56" t="str">
        <x:v>Mona asks to identify automatically whether a building is in a zone where reconciliation is not allowed.</x:v>
      </x:c>
      <x:c r="G15" s="56" t="str">
        <x:v>Automated layer screening supports review; it does not independently make the final legal decision.</x:v>
      </x:c>
      <x:c r="H15" s="56" t="str">
        <x:v>Assessment §2.5; §2.2.B</x:v>
      </x:c>
      <x:c r="I15" s="56" t="str">
        <x:v>Source-supported restriction categories; final decision remains human</x:v>
      </x:c>
      <x:c r="J15" s="56" t="str"/>
    </x:row>
    <x:row r="16" ht="80" customHeight="1">
      <x:c r="A16" s="56" t="str">
        <x:v>TR-012</x:v>
      </x:c>
      <x:c r="B16" s="56" t="str">
        <x:v>FR-GIS-004</x:v>
      </x:c>
      <x:c r="C16" s="56" t="str">
        <x:v>BO-03</x:v>
      </x:c>
      <x:c r="D16" s="56" t="str">
        <x:v>Improve spatial locating, screening, and GIS data reliability</x:v>
      </x:c>
      <x:c r="E16" s="56" t="str">
        <x:v>Eng. Ahmed, GIS Unit Head</x:v>
      </x:c>
      <x:c r="F16" s="56" t="str">
        <x:v>Ahmed: half the layers do not line up due to different coordinate systems; buildings appear shifted by tens of metres.</x:v>
      </x:c>
      <x:c r="G16" s="56" t="str">
        <x:v>CRS metadata and transformation QA are necessary before trusting spatial intersections.</x:v>
      </x:c>
      <x:c r="H16" s="56" t="str">
        <x:v>Assessment §2.3; §2.5</x:v>
      </x:c>
      <x:c r="I16" s="56" t="str">
        <x:v>Decision required for transformation/accuracy</x:v>
      </x:c>
      <x:c r="J16" s="56" t="str">
        <x:v>OI-04</x:v>
      </x:c>
    </x:row>
    <x:row r="17" ht="80" customHeight="1">
      <x:c r="A17" s="56" t="str">
        <x:v>TR-013</x:v>
      </x:c>
      <x:c r="B17" s="56" t="str">
        <x:v>FR-GIS-005</x:v>
      </x:c>
      <x:c r="C17" s="56" t="str">
        <x:v>BO-03</x:v>
      </x:c>
      <x:c r="D17" s="56" t="str">
        <x:v>Improve spatial locating, screening, and GIS data reliability</x:v>
      </x:c>
      <x:c r="E17" s="56" t="str">
        <x:v>GIS / cadastral context</x:v>
      </x:c>
      <x:c r="F17" s="56" t="str">
        <x:v>About 60% of buildings in informal areas and villages have no reliable parcel geometry; Ahmed notes parcels are absent in villages.</x:v>
      </x:c>
      <x:c r="G17" s="56" t="str">
        <x:v>A provisional location can support tracking without misrepresenting it as an authoritative parcel.</x:v>
      </x:c>
      <x:c r="H17" s="56" t="str">
        <x:v>Assessment §2.3; §2.5</x:v>
      </x:c>
      <x:c r="I17" s="56" t="str">
        <x:v>Proposed</x:v>
      </x:c>
      <x:c r="J17" s="56" t="str">
        <x:v>OI-04</x:v>
      </x:c>
    </x:row>
    <x:row r="18" ht="80" customHeight="1">
      <x:c r="A18" s="56" t="str">
        <x:v>TR-014</x:v>
      </x:c>
      <x:c r="B18" s="56" t="str">
        <x:v>FR-WF-002</x:v>
      </x:c>
      <x:c r="C18" s="56" t="str">
        <x:v>BO-02</x:v>
      </x:c>
      <x:c r="D18" s="56" t="str">
        <x:v>Manage applications end to end with visible status and accountable handoffs</x:v>
      </x:c>
      <x:c r="E18" s="56" t="str">
        <x:v>Current reconciliation committee workflow</x:v>
      </x:c>
      <x:c r="F18" s="56" t="str">
        <x:v>The committee decides to approve, reject, or request more documents.</x:v>
      </x:c>
      <x:c r="G18" s="56" t="str">
        <x:v>The stated outcomes should be explicitly recorded and routed.</x:v>
      </x:c>
      <x:c r="H18" s="56" t="str">
        <x:v>Assessment §2.2.B</x:v>
      </x:c>
      <x:c r="I18" s="56" t="str">
        <x:v>Source-supported outcome set; workflow detail requires confirmation</x:v>
      </x:c>
      <x:c r="J18" s="56" t="str">
        <x:v>OI-12</x:v>
      </x:c>
    </x:row>
    <x:row r="19" ht="80" customHeight="1">
      <x:c r="A19" s="56" t="str">
        <x:v>TR-015</x:v>
      </x:c>
      <x:c r="B19" s="56" t="str">
        <x:v>FR-WF-005</x:v>
      </x:c>
      <x:c r="C19" s="56" t="str">
        <x:v>BO-07</x:v>
      </x:c>
      <x:c r="D19" s="56" t="str">
        <x:v>Strengthen the auditability of regulatory decisions and formal follow-up</x:v>
      </x:c>
      <x:c r="E19" s="56" t="str">
        <x:v>Mr. Adel, Legal Counsel</x:v>
      </x:c>
      <x:c r="F19" s="56" t="str">
        <x:v>Adel: an applicant has 30 days from notification to file an appeal.</x:v>
      </x:c>
      <x:c r="G19" s="56" t="str">
        <x:v>The system should track appeal records and notification evidence without assuming an automatic stay or timer trigger.</x:v>
      </x:c>
      <x:c r="H19" s="56" t="str">
        <x:v>Assessment §2.5</x:v>
      </x:c>
      <x:c r="I19" s="56" t="str">
        <x:v>Appeal window source-supported; effect and trigger unresolved</x:v>
      </x:c>
      <x:c r="J19" s="56" t="str">
        <x:v>OI-07</x:v>
      </x:c>
    </x:row>
    <x:row r="20" ht="80" customHeight="1">
      <x:c r="A20" s="56" t="str">
        <x:v>TR-016</x:v>
      </x:c>
      <x:c r="B20" s="56" t="str">
        <x:v>FR-WF-006</x:v>
      </x:c>
      <x:c r="C20" s="56" t="str">
        <x:v>BO-07</x:v>
      </x:c>
      <x:c r="D20" s="56" t="str">
        <x:v>Strengthen the auditability of regulatory decisions and formal follow-up</x:v>
      </x:c>
      <x:c r="E20" s="56" t="str">
        <x:v>Mr. Adel, Legal Counsel</x:v>
      </x:c>
      <x:c r="F20" s="56" t="str">
        <x:v>Adel: removal decisions require formal notice before execution.</x:v>
      </x:c>
      <x:c r="G20" s="56" t="str">
        <x:v>Record authorised follow-up and notice status; do not automate removal or invent the workflow.</x:v>
      </x:c>
      <x:c r="H20" s="56" t="str">
        <x:v>Assessment §2.5</x:v>
      </x:c>
      <x:c r="I20" s="56" t="str">
        <x:v>Source-supported principle; detailed workflow unresolved</x:v>
      </x:c>
      <x:c r="J20" s="56" t="str">
        <x:v>OI-07</x:v>
      </x:c>
    </x:row>
    <x:row r="21" ht="80" customHeight="1">
      <x:c r="A21" s="56" t="str">
        <x:v>TR-017</x:v>
      </x:c>
      <x:c r="B21" s="56" t="str">
        <x:v>FR-FIN-001</x:v>
      </x:c>
      <x:c r="C21" s="56" t="str">
        <x:v>BO-05</x:v>
      </x:c>
      <x:c r="D21" s="56" t="str">
        <x:v>Improve tariff, fee, deposit, and instalment traceability</x:v>
      </x:c>
      <x:c r="E21" s="56" t="str">
        <x:v>Finance tariff table / Finance Manager</x:v>
      </x:c>
      <x:c r="F21" s="56" t="str">
        <x:v>Finance provides indicative zone rates; new urban extension rates are not yet set.</x:v>
      </x:c>
      <x:c r="G21" s="56" t="str">
        <x:v>Versioned approved tariff data supports accountable fee calculation and prevents silent rate changes.</x:v>
      </x:c>
      <x:c r="H21" s="56" t="str">
        <x:v>Assessment §2.4</x:v>
      </x:c>
      <x:c r="I21" s="56" t="str">
        <x:v>Tariff values illustrative; approval/effective dates needed</x:v>
      </x:c>
      <x:c r="J21" s="56" t="str">
        <x:v>OI-05</x:v>
      </x:c>
    </x:row>
    <x:row r="22" ht="80" customHeight="1">
      <x:c r="A22" s="56" t="str">
        <x:v>TR-018</x:v>
      </x:c>
      <x:c r="B22" s="56" t="str">
        <x:v>FR-FIN-002</x:v>
      </x:c>
      <x:c r="C22" s="56" t="str">
        <x:v>BO-05</x:v>
      </x:c>
      <x:c r="D22" s="56" t="str">
        <x:v>Improve tariff, fee, deposit, and instalment traceability</x:v>
      </x:c>
      <x:c r="E22" s="56" t="str">
        <x:v>Finance</x:v>
      </x:c>
      <x:c r="F22" s="56" t="str">
        <x:v>Finance notes that the pricing committee sometimes sets a special rate for a specific street different from its zone class.</x:v>
      </x:c>
      <x:c r="G22" s="56" t="str">
        <x:v>Special rates require an approval reference and precedence rules.</x:v>
      </x:c>
      <x:c r="H22" s="56" t="str">
        <x:v>Assessment §2.4</x:v>
      </x:c>
      <x:c r="I22" s="56" t="str">
        <x:v>Source-supported variation; approval mechanism to define</x:v>
      </x:c>
      <x:c r="J22" s="56" t="str">
        <x:v>OI-05</x:v>
      </x:c>
    </x:row>
    <x:row r="23" ht="80" customHeight="1">
      <x:c r="A23" s="56" t="str">
        <x:v>TR-019</x:v>
      </x:c>
      <x:c r="B23" s="56" t="str">
        <x:v>FR-FIN-003</x:v>
      </x:c>
      <x:c r="C23" s="56" t="str">
        <x:v>BO-05</x:v>
      </x:c>
      <x:c r="D23" s="56" t="str">
        <x:v>Improve tariff, fee, deposit, and instalment traceability</x:v>
      </x:c>
      <x:c r="E23" s="56" t="str">
        <x:v>Finance tariff table</x:v>
      </x:c>
      <x:c r="F23" s="56" t="str">
        <x:v>New urban extension areas have no rate set by the pricing committee.</x:v>
      </x:c>
      <x:c r="G23" s="56" t="str">
        <x:v>The proposed control holds finalisation instead of guessing a rate.</x:v>
      </x:c>
      <x:c r="H23" s="56" t="str">
        <x:v>Assessment §2.4</x:v>
      </x:c>
      <x:c r="I23" s="56" t="str">
        <x:v>Proposed control</x:v>
      </x:c>
      <x:c r="J23" s="56" t="str">
        <x:v>OI-05</x:v>
      </x:c>
    </x:row>
    <x:row r="24" ht="80" customHeight="1">
      <x:c r="A24" s="56" t="str">
        <x:v>TR-020</x:v>
      </x:c>
      <x:c r="B24" s="56" t="str">
        <x:v>FR-FIN-005</x:v>
      </x:c>
      <x:c r="C24" s="56" t="str">
        <x:v>BO-05</x:v>
      </x:c>
      <x:c r="D24" s="56" t="str">
        <x:v>Improve tariff, fee, deposit, and instalment traceability</x:v>
      </x:c>
      <x:c r="E24" s="56" t="str">
        <x:v>Mrs. Nagwa, Finance Manager</x:v>
      </x:c>
      <x:c r="F24" s="56" t="str">
        <x:v>Nagwa says the deposit is non-refundable, but rejected applicants demand it back.</x:v>
      </x:c>
      <x:c r="G24" s="56" t="str">
        <x:v>Record deposit and disputes; do not auto-approve or auto-deny refunds until a policy decision is made.</x:v>
      </x:c>
      <x:c r="H24" s="56" t="str">
        <x:v>Assessment §§2.4, 2.5</x:v>
      </x:c>
      <x:c r="I24" s="56" t="str">
        <x:v>Policy conflict open</x:v>
      </x:c>
      <x:c r="J24" s="56" t="str">
        <x:v>OI-06</x:v>
      </x:c>
    </x:row>
    <x:row r="25" ht="80" customHeight="1">
      <x:c r="A25" s="56" t="str">
        <x:v>TR-021</x:v>
      </x:c>
      <x:c r="B25" s="56" t="str">
        <x:v>FR-FIN-006</x:v>
      </x:c>
      <x:c r="C25" s="56" t="str">
        <x:v>BO-05</x:v>
      </x:c>
      <x:c r="D25" s="56" t="str">
        <x:v>Improve tariff, fee, deposit, and instalment traceability</x:v>
      </x:c>
      <x:c r="E25" s="56" t="str">
        <x:v>Mrs. Nagwa, Finance Manager</x:v>
      </x:c>
      <x:c r="F25" s="56" t="str">
        <x:v>Nagwa says many citizens pay in instalments and there is no current way to follow up late payments.</x:v>
      </x:c>
      <x:c r="G25" s="56" t="str">
        <x:v>A ledger and due-date tracking capability responds to the stated control gap; arrears consequences need approval.</x:v>
      </x:c>
      <x:c r="H25" s="56" t="str">
        <x:v>Assessment §§2.4, 2.5</x:v>
      </x:c>
      <x:c r="I25" s="56" t="str">
        <x:v>Source-supported need; detailed rules open</x:v>
      </x:c>
      <x:c r="J25" s="56" t="str">
        <x:v>OI-08</x:v>
      </x:c>
    </x:row>
    <x:row r="26" ht="80" customHeight="1">
      <x:c r="A26" s="56" t="str">
        <x:v>TR-022</x:v>
      </x:c>
      <x:c r="B26" s="56" t="str">
        <x:v>FR-CERT-003</x:v>
      </x:c>
      <x:c r="C26" s="56" t="str">
        <x:v>BO-07</x:v>
      </x:c>
      <x:c r="D26" s="56" t="str">
        <x:v>Strengthen the auditability of regulatory decisions and formal follow-up</x:v>
      </x:c>
      <x:c r="E26" s="56" t="str">
        <x:v>Eng. Khaled / Mr. Walid</x:v>
      </x:c>
      <x:c r="F26" s="56" t="str">
        <x:v>Khaled wants online certificate verification before meter installation; Walid says civil-registry integration needs ministry approval and data must stay in the Governorate data centre.</x:v>
      </x:c>
      <x:c r="G26" s="56" t="str">
        <x:v>Utility verification must remain conditional on counterpart, security, hosting, and data-sharing approvals.</x:v>
      </x:c>
      <x:c r="H26" s="56" t="str">
        <x:v>Assessment §§2.3, 2.5</x:v>
      </x:c>
      <x:c r="I26" s="56" t="str">
        <x:v>Conditional / decision required</x:v>
      </x:c>
      <x:c r="J26" s="56" t="str">
        <x:v>OI-09</x:v>
      </x:c>
    </x:row>
    <x:row r="27" ht="80" customHeight="1">
      <x:c r="A27" s="56" t="str">
        <x:v>TR-023</x:v>
      </x:c>
      <x:c r="B27" s="56" t="str">
        <x:v>FR-REP-001</x:v>
      </x:c>
      <x:c r="C27" s="56" t="str">
        <x:v>BO-04</x:v>
      </x:c>
      <x:c r="D27" s="56" t="str">
        <x:v>Give leadership and operations a reliable view of backlog, throughput, collections, and follow-up</x:v>
      </x:c>
      <x:c r="E27" s="56" t="str">
        <x:v>Eng. Hesham, Sponsor</x:v>
      </x:c>
      <x:c r="F27" s="56" t="str">
        <x:v>Hesham asks for a map dashboard of violations by district, applications, collections, and removals.</x:v>
      </x:c>
      <x:c r="G27" s="56" t="str">
        <x:v>The dashboard should define data sources, refresh and permissions; removals reflect recorded authorised events only.</x:v>
      </x:c>
      <x:c r="H27" s="56" t="str">
        <x:v>Assessment §2.5</x:v>
      </x:c>
      <x:c r="I27" s="56" t="str">
        <x:v>Source-supported need; metric definitions to agree</x:v>
      </x:c>
      <x:c r="J27" s="56" t="str">
        <x:v>OI-01</x:v>
      </x:c>
    </x:row>
    <x:row r="28" ht="80" customHeight="1">
      <x:c r="A28" s="56" t="str">
        <x:v>TR-024</x:v>
      </x:c>
      <x:c r="B28" s="56" t="str">
        <x:v>FR-DAT-003</x:v>
      </x:c>
      <x:c r="C28" s="56" t="str">
        <x:v>BO-02</x:v>
      </x:c>
      <x:c r="D28" s="56" t="str">
        <x:v>Manage applications end to end with visible status and accountable handoffs</x:v>
      </x:c>
      <x:c r="E28" s="56" t="str">
        <x:v>Mr. Sayed / source key facts</x:v>
      </x:c>
      <x:c r="F28" s="56" t="str">
        <x:v>Sayed asks what happens to approximately 40,000 paper files; assessment separately lists approximately 38,000 pending applications.</x:v>
      </x:c>
      <x:c r="G28" s="56" t="str">
        <x:v>Migration scope must distinguish the two populations and reconcile any overlap before loading.</x:v>
      </x:c>
      <x:c r="H28" s="56" t="str">
        <x:v>Assessment §§2.3, 2.5</x:v>
      </x:c>
      <x:c r="I28" s="56" t="str">
        <x:v>Decision required</x:v>
      </x:c>
      <x:c r="J28" s="56" t="str">
        <x:v>OI-10</x:v>
      </x:c>
    </x:row>
    <x:row r="29" ht="80" customHeight="1">
      <x:c r="A29" s="56" t="str">
        <x:v>TR-025</x:v>
      </x:c>
      <x:c r="B29" s="56" t="str">
        <x:v>NFR-010</x:v>
      </x:c>
      <x:c r="C29" s="56" t="str">
        <x:v>BO-03</x:v>
      </x:c>
      <x:c r="D29" s="56" t="str">
        <x:v>Improve spatial locating, screening, and GIS data reliability</x:v>
      </x:c>
      <x:c r="E29" s="56" t="str">
        <x:v>Eng. Ahmed, GIS Unit Head</x:v>
      </x:c>
      <x:c r="F29" s="56" t="str">
        <x:v>Existing layers use Egypt 1907 / Red Belt and WGS 84 / UTM 36N; imagery arrives in WGS 84; shifts of tens of metres are reported.</x:v>
      </x:c>
      <x:c r="G29" s="56" t="str">
        <x:v>Preserve CRS metadata and require approved transformation/QA. No fixed positional tolerance is approved.</x:v>
      </x:c>
      <x:c r="H29" s="56" t="str">
        <x:v>Assessment §§2.3, 2.5</x:v>
      </x:c>
      <x:c r="I29" s="56" t="str">
        <x:v>Needs Survey Authority validation</x:v>
      </x:c>
      <x:c r="J29" s="56" t="str">
        <x:v>OI-04</x:v>
      </x:c>
    </x:row>
    <x:row r="30" ht="80" customHeight="1">
      <x:c r="A30" s="56" t="str">
        <x:v>TR-026</x:v>
      </x:c>
      <x:c r="B30" s="56" t="str">
        <x:v>NFR-014</x:v>
      </x:c>
      <x:c r="C30" s="56" t="str">
        <x:v>BO-06</x:v>
      </x:c>
      <x:c r="D30" s="56" t="str">
        <x:v>Provide accessible service under weak-connectivity conditions</x:v>
      </x:c>
      <x:c r="E30" s="56" t="str">
        <x:v>Mr. Sayed, Technical Centres Manager</x:v>
      </x:c>
      <x:c r="F30" s="56" t="str">
        <x:v>Sayed says many applicants are elderly or cannot use the internet; most files are submitted by lawyers or agents.</x:v>
      </x:c>
      <x:c r="G30" s="56" t="str">
        <x:v>The service design should not assume internet-only access; the supported channel model must be approved.</x:v>
      </x:c>
      <x:c r="H30" s="56" t="str">
        <x:v>Assessment §2.5</x:v>
      </x:c>
      <x:c r="I30" s="56" t="str">
        <x:v>Decision required</x:v>
      </x:c>
      <x:c r="J30" s="56" t="str">
        <x:v>OI-09</x:v>
      </x:c>
    </x:row>
  </x:sheetData>
  <x:mergeCells>
    <x:mergeCell ref="A1:J1"/>
    <x:mergeCell ref="A2:J2"/>
  </x:mergeCells>
  <x:conditionalFormatting sqref="I5:I30">
    <x:cfRule type="expression" dxfId="3" priority="1">
      <x:formula>ISNUMBER(SEARCH("Decision required",I5))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3f5cca02d84d2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60" hidden="0" customWidth="1"/>
    <x:col min="4" max="4" width="44" hidden="0" customWidth="1"/>
    <x:col min="5" max="5" width="44" hidden="0" customWidth="1"/>
    <x:col min="6" max="6" width="62" hidden="0" customWidth="1"/>
    <x:col min="7" max="7" width="34" hidden="0" customWidth="1"/>
    <x:col min="8" max="8" width="45" hidden="0" customWidth="1"/>
    <x:col min="9" max="9" width="28" hidden="0" customWidth="1"/>
  </x:cols>
  <x:sheetData>
    <x:row r="1" ht="32" customHeight="1">
      <x:c r="A1" s="5" t="str">
        <x:v>BVDRS | User Stories &amp; Gherkin Acceptance Criteria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4" t="str">
        <x:v>Five assessment-required user stories, each with an explicit As a / I want / So that statement and Given / When / Then acceptance criteria. Stories are proposed examples, not approved scope.</x:v>
      </x:c>
      <x:c r="B2" s="14"/>
      <x:c r="C2" s="14"/>
      <x:c r="D2" s="14"/>
      <x:c r="E2" s="14"/>
      <x:c r="F2" s="14"/>
      <x:c r="G2" s="14"/>
      <x:c r="H2" s="14"/>
      <x:c r="I2" s="14"/>
    </x:row>
    <x:row r="4" ht="36" customHeight="1">
      <x:c r="A4" s="24" t="str">
        <x:v>Story ID</x:v>
      </x:c>
      <x:c r="B4" s="24" t="str">
        <x:v>Title</x:v>
      </x:c>
      <x:c r="C4" s="24" t="str">
        <x:v>User Story (As a / I want / So that)</x:v>
      </x:c>
      <x:c r="D4" s="24" t="str">
        <x:v>Given</x:v>
      </x:c>
      <x:c r="E4" s="24" t="str">
        <x:v>When</x:v>
      </x:c>
      <x:c r="F4" s="24" t="str">
        <x:v>Then</x:v>
      </x:c>
      <x:c r="G4" s="24" t="str">
        <x:v>Linked Requirements</x:v>
      </x:c>
      <x:c r="H4" s="24" t="str">
        <x:v>Status / Dependency</x:v>
      </x:c>
      <x:c r="I4" s="24" t="str">
        <x:v>Primary Actor</x:v>
      </x:c>
    </x:row>
    <x:row r="5" ht="100" customHeight="1">
      <x:c r="A5" s="56" t="str">
        <x:v>US-01</x:v>
      </x:c>
      <x:c r="B5" s="56" t="str">
        <x:v>Review an imagery candidate</x:v>
      </x:c>
      <x:c r="C5" s="56" t="str">
        <x:v>As a GIS analyst, I want to review detected candidate changes with their source imagery, so that I can validate or dismiss candidates before field dispatch.</x:v>
      </x:c>
      <x:c r="D5" s="56" t="str">
        <x:v>An imagery pair has passed ingestion checks.</x:v>
      </x:c>
      <x:c r="E5" s="56" t="str">
        <x:v>The analyst opens the comparison results.</x:v>
      </x:c>
      <x:c r="F5" s="56" t="str">
        <x:v>The system displays candidate locations linked to the source images and records the analyst's confirm/dismiss decision, user, time, and reason.</x:v>
      </x:c>
      <x:c r="G5" s="56" t="str">
        <x:v>FR-DET-003; FR-DET-004</x:v>
      </x:c>
      <x:c r="H5" s="56" t="str">
        <x:v>Proposed; imagery automation/frequency subject to OI-03</x:v>
      </x:c>
      <x:c r="I5" s="56" t="str">
        <x:v>GIS Unit Head / GIS Analyst</x:v>
      </x:c>
    </x:row>
    <x:row r="6" ht="100" customHeight="1">
      <x:c r="A6" s="56" t="str">
        <x:v>US-02</x:v>
      </x:c>
      <x:c r="B6" s="56" t="str">
        <x:v>Record a field inspection with weak connectivity</x:v>
      </x:c>
      <x:c r="C6" s="56" t="str">
        <x:v>As a field engineer, I want to record an assigned visit even when the connection is unavailable, so that site evidence is not lost because of connectivity.</x:v>
      </x:c>
      <x:c r="D6" s="56" t="str">
        <x:v>An assigned ticket and available site information are saved locally.</x:v>
      </x:c>
      <x:c r="E6" s="56" t="str">
        <x:v>The engineer records the visit outcome, notes, area estimate, and available photos offline.</x:v>
      </x:c>
      <x:c r="F6" s="56" t="str">
        <x:v>The record remains marked pending synchronisation and is safely submitted after connectivity returns without creating a duplicate.</x:v>
      </x:c>
      <x:c r="G6" s="56" t="str">
        <x:v>FR-FLD-001; FR-FLD-002; FR-FLD-003; FR-FLD-004; NFR-008; NFR-009</x:v>
      </x:c>
      <x:c r="H6" s="56" t="str">
        <x:v>Proposed; device, security and offline design require validation (OI-11)</x:v>
      </x:c>
      <x:c r="I6" s="56" t="str">
        <x:v>Field Engineer / IT / Engineering</x:v>
      </x:c>
    </x:row>
    <x:row r="7" ht="100" customHeight="1">
      <x:c r="A7" s="56" t="str">
        <x:v>US-03</x:v>
      </x:c>
      <x:c r="B7" s="56" t="str">
        <x:v>Register a reconciliation application</x:v>
      </x:c>
      <x:c r="C7" s="56" t="str">
        <x:v>As a technical-centre clerk, I want to register an application and its document checklist, so that the case can be tracked across the offices.</x:v>
      </x:c>
      <x:c r="D7" s="56" t="str">
        <x:v>An owner or authorised agent presents an application.</x:v>
      </x:c>
      <x:c r="E7" s="56" t="str">
        <x:v>The clerk records the party, documents, intake channel, and any deposit evidence under the approved intake policy.</x:v>
      </x:c>
      <x:c r="F7" s="56" t="str">
        <x:v>The system assigns a unique case reference and displays received/missing documents and the next responsible queue.</x:v>
      </x:c>
      <x:c r="G7" s="56" t="str">
        <x:v>FR-APP-001; FR-APP-002; FR-APP-003; FR-APP-005; FR-FIN-005</x:v>
      </x:c>
      <x:c r="H7" s="56" t="str">
        <x:v>Proposed system capability; intake/deposit policy dependencies remain open (OI-06; OI-09)</x:v>
      </x:c>
      <x:c r="I7" s="56" t="str">
        <x:v>Technical-Centre Clerk / Sayed / Finance</x:v>
      </x:c>
    </x:row>
    <x:row r="8" ht="100" customHeight="1">
      <x:c r="A8" s="56" t="str">
        <x:v>US-04</x:v>
      </x:c>
      <x:c r="B8" s="56" t="str">
        <x:v>Record a committee decision</x:v>
      </x:c>
      <x:c r="C8" s="56" t="str">
        <x:v>As a committee secretary, I want to record the authorised outcome and reasons, so that the case history and follow-up action are auditable.</x:v>
      </x:c>
      <x:c r="D8" s="56" t="str">
        <x:v>A case is scheduled for committee review.</x:v>
      </x:c>
      <x:c r="E8" s="56" t="str">
        <x:v>The authorised committee records approve, reject, or request-more-documents.</x:v>
      </x:c>
      <x:c r="F8" s="56" t="str">
        <x:v>The system records the outcome, date, responsible committee/authorised user, reasons and related evidence, and routes the case according to the approved workflow.</x:v>
      </x:c>
      <x:c r="G8" s="56" t="str">
        <x:v>FR-WF-001; FR-WF-002; FR-WF-003; FR-WF-004; NFR-006</x:v>
      </x:c>
      <x:c r="H8" s="56" t="str">
        <x:v>Proposed system capability; routing and reason rules need validation (OI-12)</x:v>
      </x:c>
      <x:c r="I8" s="56" t="str">
        <x:v>Committee Secretariat / Engineering / Legal</x:v>
      </x:c>
    </x:row>
    <x:row r="9" ht="100" customHeight="1">
      <x:c r="A9" s="56" t="str">
        <x:v>US-05</x:v>
      </x:c>
      <x:c r="B9" s="56" t="str">
        <x:v>Prevent a fee calculation using an unknown rate</x:v>
      </x:c>
      <x:c r="C9" s="56" t="str">
        <x:v>As a finance officer, I want the system to identify when no approved rate exists, so that an applicant is not charged using an invented tariff.</x:v>
      </x:c>
      <x:c r="D9" s="56" t="str">
        <x:v>A case belongs to an extension area without an approved tariff.</x:v>
      </x:c>
      <x:c r="E9" s="56" t="str">
        <x:v>Finance attempts to finalise the fee.</x:v>
      </x:c>
      <x:c r="F9" s="56" t="str">
        <x:v>The system holds finalisation, displays the missing-rate issue, and records the authorised rate once approved rather than silently applying a default.</x:v>
      </x:c>
      <x:c r="G9" s="56" t="str">
        <x:v>FR-FIN-001; FR-FIN-002; FR-FIN-003; FR-FIN-004</x:v>
      </x:c>
      <x:c r="H9" s="56" t="str">
        <x:v>Proposed control grounded in the missing-rate problem; rate approval is required (OI-05)</x:v>
      </x:c>
      <x:c r="I9" s="56" t="str">
        <x:v>Finance / Pricing Committee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9de3165b62e44f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72" hidden="0" customWidth="1"/>
    <x:col min="4" max="4" width="34" hidden="0" customWidth="1"/>
    <x:col min="5" max="5" width="43" hidden="0" customWidth="1"/>
    <x:col min="6" max="6" width="18" hidden="0" customWidth="1"/>
  </x:cols>
  <x:sheetData>
    <x:row r="1" ht="32" customHeight="1">
      <x:c r="A1" s="5" t="str">
        <x:v>BVDRS | Business Rules Register</x:v>
      </x:c>
      <x:c r="B1" s="5"/>
      <x:c r="C1" s="5"/>
      <x:c r="D1" s="5"/>
      <x:c r="E1" s="5"/>
      <x:c r="F1" s="5"/>
    </x:row>
    <x:row r="2" ht="34" customHeight="1">
      <x:c r="A2" s="14" t="str">
        <x:v>16 rules taken from the revised BRD. The status column deliberately separates source-stated facts from proposed controls and decisions requiring an authorised policy owner.</x:v>
      </x:c>
      <x:c r="B2" s="14"/>
      <x:c r="C2" s="14"/>
      <x:c r="D2" s="14"/>
      <x:c r="E2" s="14"/>
      <x:c r="F2" s="14"/>
    </x:row>
    <x:row r="4" ht="36" customHeight="1">
      <x:c r="A4" s="24" t="str">
        <x:v>Rule ID</x:v>
      </x:c>
      <x:c r="B4" s="24" t="str">
        <x:v>Rule Name</x:v>
      </x:c>
      <x:c r="C4" s="24" t="str">
        <x:v>Rule Statement</x:v>
      </x:c>
      <x:c r="D4" s="24" t="str">
        <x:v>Evidence / Authority</x:v>
      </x:c>
      <x:c r="E4" s="24" t="str">
        <x:v>Status</x:v>
      </x:c>
      <x:c r="F4" s="24" t="str">
        <x:v>Open Issue(s)</x:v>
      </x:c>
    </x:row>
    <x:row r="5" ht="67" customHeight="1">
      <x:c r="A5" s="56" t="str">
        <x:v>BR-01</x:v>
      </x:c>
      <x:c r="B5" s="56" t="str">
        <x:v>Phase-one geography</x:v>
      </x:c>
      <x:c r="C5" s="56" t="str">
        <x:v>The initial scope applies to Madinat Al-Wadi and surrounding villages identified for Phase 1.</x:v>
      </x:c>
      <x:c r="D5" s="56" t="str">
        <x:v>Assessment 2.1</x:v>
      </x:c>
      <x:c r="E5" s="56" t="str">
        <x:v>Source-supported</x:v>
      </x:c>
      <x:c r="F5" s="56" t="str">
        <x:v>—</x:v>
      </x:c>
    </x:row>
    <x:row r="6" ht="67" customHeight="1">
      <x:c r="A6" s="56" t="str">
        <x:v>BR-02</x:v>
      </x:c>
      <x:c r="B6" s="56" t="str">
        <x:v>Human inspection</x:v>
      </x:c>
      <x:c r="C6" s="56" t="str">
        <x:v>The current process includes an engineer site inspection; the Engineering Head states that decisions cannot be made without one. No Fast-Track exemption is confirmed.</x:v>
      </x:c>
      <x:c r="D6" s="56" t="str">
        <x:v>Assessment 2.2.B; Mona</x:v>
      </x:c>
      <x:c r="E6" s="56" t="str">
        <x:v>Source-supported current practice / proposed baseline</x:v>
      </x:c>
      <x:c r="F6" s="56" t="str">
        <x:v>—</x:v>
      </x:c>
    </x:row>
    <x:row r="7" ht="67" customHeight="1">
      <x:c r="A7" s="56" t="str">
        <x:v>BR-03</x:v>
      </x:c>
      <x:c r="B7" s="56" t="str">
        <x:v>Spatial restrictions</x:v>
      </x:c>
      <x:c r="C7" s="56" t="str">
        <x:v>Relevant checks include urban boundary, agricultural land, Nile protection, heritage, and airport height restrictions.</x:v>
      </x:c>
      <x:c r="D7" s="56" t="str">
        <x:v>Assessment 2.2.B</x:v>
      </x:c>
      <x:c r="E7" s="56" t="str">
        <x:v>Source-supported categories; rule details to validate</x:v>
      </x:c>
      <x:c r="F7" s="56" t="str">
        <x:v>—</x:v>
      </x:c>
    </x:row>
    <x:row r="8" ht="67" customHeight="1">
      <x:c r="A8" s="56" t="str">
        <x:v>BR-04</x:v>
      </x:c>
      <x:c r="B8" s="56" t="str">
        <x:v>GIS decision limit</x:v>
      </x:c>
      <x:c r="C8" s="56" t="str">
        <x:v>A spatial match is screening evidence; final eligibility must be determined by the authorised engineering/committee/legal process.</x:v>
      </x:c>
      <x:c r="D8" s="56" t="str">
        <x:v>BA control to preserve accountability</x:v>
      </x:c>
      <x:c r="E8" s="56" t="str">
        <x:v>Proposed control</x:v>
      </x:c>
      <x:c r="F8" s="56" t="str">
        <x:v>—</x:v>
      </x:c>
    </x:row>
    <x:row r="9" ht="67" customHeight="1">
      <x:c r="A9" s="56" t="str">
        <x:v>BR-05</x:v>
      </x:c>
      <x:c r="B9" s="56" t="str">
        <x:v>Fee calculation basis</x:v>
      </x:c>
      <x:c r="C9" s="56" t="str">
        <x:v>Finance's current calculation is violating area multiplied by the applicable price per square metre, with the down payment deducted from the payable balance.</x:v>
      </x:c>
      <x:c r="D9" s="56" t="str">
        <x:v>Assessment 2.2.B and 2.4</x:v>
      </x:c>
      <x:c r="E9" s="56" t="str">
        <x:v>Source-supported description</x:v>
      </x:c>
      <x:c r="F9" s="56" t="str">
        <x:v>—</x:v>
      </x:c>
    </x:row>
    <x:row r="10" ht="67" customHeight="1">
      <x:c r="A10" s="56" t="str">
        <x:v>BR-06</x:v>
      </x:c>
      <x:c r="B10" s="56" t="str">
        <x:v>Zone tariffs</x:v>
      </x:c>
      <x:c r="C10" s="56" t="str">
        <x:v>Illustrative base rates are Zone A EGP 1,200/m2, Zone B EGP 800/m2, Zone C EGP 450/m2, and Zone D EGP 150/m2.</x:v>
      </x:c>
      <x:c r="D10" s="56" t="str">
        <x:v>Finance table, assessment 2.4</x:v>
      </x:c>
      <x:c r="E10" s="56" t="str">
        <x:v>Illustrative schedule; approval/effective dates required</x:v>
      </x:c>
      <x:c r="F10" s="56" t="str">
        <x:v>—</x:v>
      </x:c>
    </x:row>
    <x:row r="11" ht="67" customHeight="1">
      <x:c r="A11" s="56" t="str">
        <x:v>BR-07</x:v>
      </x:c>
      <x:c r="B11" s="56" t="str">
        <x:v>Street override</x:v>
      </x:c>
      <x:c r="C11" s="56" t="str">
        <x:v>A special street rate set by the Pricing Committee may differ from the general zone class rate.</x:v>
      </x:c>
      <x:c r="D11" s="56" t="str">
        <x:v>Finance note, assessment 2.4</x:v>
      </x:c>
      <x:c r="E11" s="56" t="str">
        <x:v>Source-supported; approval mechanism to define</x:v>
      </x:c>
      <x:c r="F11" s="56" t="str">
        <x:v>—</x:v>
      </x:c>
    </x:row>
    <x:row r="12" ht="67" customHeight="1">
      <x:c r="A12" s="56" t="str">
        <x:v>BR-08</x:v>
      </x:c>
      <x:c r="B12" s="56" t="str">
        <x:v>Unpriced extensions</x:v>
      </x:c>
      <x:c r="C12" s="56" t="str">
        <x:v>New urban extension rates have not been set. A proposed control is to hold calculation until an authorised rate is available rather than use a guessed rate.</x:v>
      </x:c>
      <x:c r="D12" s="56" t="str">
        <x:v>Assessment 2.4</x:v>
      </x:c>
      <x:c r="E12" s="56" t="str">
        <x:v>Source-supported gap / proposed control</x:v>
      </x:c>
      <x:c r="F12" s="56" t="str">
        <x:v>—</x:v>
      </x:c>
    </x:row>
    <x:row r="13" ht="67" customHeight="1">
      <x:c r="A13" s="56" t="str">
        <x:v>BR-09</x:v>
      </x:c>
      <x:c r="B13" s="56" t="str">
        <x:v>Down payment</x:v>
      </x:c>
      <x:c r="C13" s="56" t="str">
        <x:v>Payment terms state a 25% down payment at application. Finance describes it as non-refundable, while rejected applicants demand refunds.</x:v>
      </x:c>
      <x:c r="D13" s="56" t="str">
        <x:v>Assessment 2.4 and Nagwa interview</x:v>
      </x:c>
      <x:c r="E13" s="56" t="str">
        <x:v>Timing/refund policy conflict; OI-06</x:v>
      </x:c>
      <x:c r="F13" s="56" t="str">
        <x:v>OI-06</x:v>
      </x:c>
    </x:row>
    <x:row r="14" ht="67" customHeight="1">
      <x:c r="A14" s="56" t="str">
        <x:v>BR-10</x:v>
      </x:c>
      <x:c r="B14" s="56" t="str">
        <x:v>Instalments</x:v>
      </x:c>
      <x:c r="C14" s="56" t="str">
        <x:v>Remaining amounts may be paid in full or in instalments over up to 36 months.</x:v>
      </x:c>
      <x:c r="D14" s="56" t="str">
        <x:v>Assessment 2.4</x:v>
      </x:c>
      <x:c r="E14" s="56" t="str">
        <x:v>Source-supported; detailed schedule and arrears rules to approve</x:v>
      </x:c>
      <x:c r="F14" s="56" t="str">
        <x:v>—</x:v>
      </x:c>
    </x:row>
    <x:row r="15" ht="67" customHeight="1">
      <x:c r="A15" s="56" t="str">
        <x:v>BR-11</x:v>
      </x:c>
      <x:c r="B15" s="56" t="str">
        <x:v>Committee outcomes</x:v>
      </x:c>
      <x:c r="C15" s="56" t="str">
        <x:v>The committee may approve, reject, or request additional documents.</x:v>
      </x:c>
      <x:c r="D15" s="56" t="str">
        <x:v>Assessment 2.2.B</x:v>
      </x:c>
      <x:c r="E15" s="56" t="str">
        <x:v>Source-supported</x:v>
      </x:c>
      <x:c r="F15" s="56" t="str">
        <x:v>—</x:v>
      </x:c>
    </x:row>
    <x:row r="16" ht="67" customHeight="1">
      <x:c r="A16" s="56" t="str">
        <x:v>BR-12</x:v>
      </x:c>
      <x:c r="B16" s="56" t="str">
        <x:v>Appeal window</x:v>
      </x:c>
      <x:c r="C16" s="56" t="str">
        <x:v>A rejected applicant may file an appeal within 30 days from notification. The notification evidence and legal effect of a pending appeal are not defined in the case.</x:v>
      </x:c>
      <x:c r="D16" s="56" t="str">
        <x:v>Assessment 2.5 and Adel interview</x:v>
      </x:c>
      <x:c r="E16" s="56" t="str">
        <x:v>Window source-supported; trigger/effect open</x:v>
      </x:c>
      <x:c r="F16" s="56" t="str">
        <x:v>—</x:v>
      </x:c>
    </x:row>
    <x:row r="17" ht="67" customHeight="1">
      <x:c r="A17" s="56" t="str">
        <x:v>BR-13</x:v>
      </x:c>
      <x:c r="B17" s="56" t="str">
        <x:v>Removal notice</x:v>
      </x:c>
      <x:c r="C17" s="56" t="str">
        <x:v>Removal decisions require formal notice before execution. The detailed authorisation and execution workflow is not provided.</x:v>
      </x:c>
      <x:c r="D17" s="56" t="str">
        <x:v>Adel interview, assessment 2.5</x:v>
      </x:c>
      <x:c r="E17" s="56" t="str">
        <x:v>Source-supported principle; workflow open</x:v>
      </x:c>
      <x:c r="F17" s="56" t="str">
        <x:v>—</x:v>
      </x:c>
    </x:row>
    <x:row r="18" ht="67" customHeight="1">
      <x:c r="A18" s="56" t="str">
        <x:v>BR-14</x:v>
      </x:c>
      <x:c r="B18" s="56" t="str">
        <x:v>Imagery cadence</x:v>
      </x:c>
      <x:c r="C18" s="56" t="str">
        <x:v>Current imagery is quarterly at 50 cm resolution. Weekly imagery would require a new contract and additional budget according to the GIS lead.</x:v>
      </x:c>
      <x:c r="D18" s="56" t="str">
        <x:v>Assessment 2.2.A / Ahmed</x:v>
      </x:c>
      <x:c r="E18" s="56" t="str">
        <x:v>Source-supported current state; future cadence open</x:v>
      </x:c>
      <x:c r="F18" s="56" t="str">
        <x:v>—</x:v>
      </x:c>
    </x:row>
    <x:row r="19" ht="67" customHeight="1">
      <x:c r="A19" s="56" t="str">
        <x:v>BR-15</x:v>
      </x:c>
      <x:c r="B19" s="56" t="str">
        <x:v>Civil registry</x:v>
      </x:c>
      <x:c r="C19" s="56" t="str">
        <x:v>National ID data is held by the civil registry; no integration exists today and ministry approval is required.</x:v>
      </x:c>
      <x:c r="D19" s="56" t="str">
        <x:v>Assessment 2.3 / Walid</x:v>
      </x:c>
      <x:c r="E19" s="56" t="str">
        <x:v>Source-supported constraint</x:v>
      </x:c>
      <x:c r="F19" s="56" t="str">
        <x:v>—</x:v>
      </x:c>
    </x:row>
    <x:row r="20" ht="67" customHeight="1">
      <x:c r="A20" s="56" t="str">
        <x:v>BR-16</x:v>
      </x:c>
      <x:c r="B20" s="56" t="str">
        <x:v>Spatial reference and cadastral gaps</x:v>
      </x:c>
      <x:c r="C20" s="56" t="str">
        <x:v>Older layers use Egypt 1907 / Red Belt, newer layers use WGS 84 / UTM 36N, and imagery arrives in WGS 84. Around 60% of buildings in informal areas/villages lack reliable parcel geometry.</x:v>
      </x:c>
      <x:c r="D20" s="56" t="str">
        <x:v>Assessment 2.3 / Ahmed</x:v>
      </x:c>
      <x:c r="E20" s="56" t="str">
        <x:v>Source-supported; transformation/accuracy decisions open</x:v>
      </x:c>
      <x:c r="F20" s="56" t="str">
        <x:v>—</x:v>
      </x:c>
    </x:row>
  </x:sheetData>
  <x:mergeCells>
    <x:mergeCell ref="A1:F1"/>
    <x:mergeCell ref="A2:F2"/>
  </x:mergeCells>
  <x:conditionalFormatting sqref="E5:E20">
    <x:cfRule type="expression" dxfId="4" priority="1">
      <x:formula>ISNUMBER(SEARCH("open",E5))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44074cf2b74a0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63" hidden="0" customWidth="1"/>
    <x:col min="4" max="4" width="58" hidden="0" customWidth="1"/>
    <x:col min="5" max="5" width="34" hidden="0" customWidth="1"/>
    <x:col min="6" max="6" width="17" hidden="0" customWidth="1"/>
    <x:col min="7" max="7" width="33" hidden="0" customWidth="1"/>
    <x:col min="8" max="8" width="40" hidden="0" customWidth="1"/>
    <x:col min="9" max="9" width="54" hidden="0" customWidth="1"/>
  </x:cols>
  <x:sheetData>
    <x:row r="1" ht="32" customHeight="1">
      <x:c r="A1" s="5" t="str">
        <x:v>BVDRS | Open Issues &amp; Decision Log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4" t="str">
        <x:v>12 unresolved matters explicitly carried forward from the BRD. No clarification response was received. The log is designed for stakeholder ownership and closure before requirements baseline/sign-off.</x:v>
      </x:c>
      <x:c r="B2" s="14"/>
      <x:c r="C2" s="14"/>
      <x:c r="D2" s="14"/>
      <x:c r="E2" s="14"/>
      <x:c r="F2" s="14"/>
      <x:c r="G2" s="14"/>
      <x:c r="H2" s="14"/>
      <x:c r="I2" s="14"/>
    </x:row>
    <x:row r="4" ht="36" customHeight="1">
      <x:c r="A4" s="24" t="str">
        <x:v>Issue ID</x:v>
      </x:c>
      <x:c r="B4" s="24" t="str">
        <x:v>Topic</x:v>
      </x:c>
      <x:c r="C4" s="24" t="str">
        <x:v>Decision Required</x:v>
      </x:c>
      <x:c r="D4" s="24" t="str">
        <x:v>Why It Matters / Impact</x:v>
      </x:c>
      <x:c r="E4" s="24" t="str">
        <x:v>Decision Owner(s)</x:v>
      </x:c>
      <x:c r="F4" s="24" t="str">
        <x:v>Priority</x:v>
      </x:c>
      <x:c r="G4" s="24" t="str">
        <x:v>Status</x:v>
      </x:c>
      <x:c r="H4" s="24" t="str">
        <x:v>Affected Requirements / Objectives</x:v>
      </x:c>
      <x:c r="I4" s="24" t="str">
        <x:v>Interim Treatment</x:v>
      </x:c>
    </x:row>
    <x:row r="5" ht="78" customHeight="1">
      <x:c r="A5" s="56" t="str">
        <x:v>OI-01</x:v>
      </x:c>
      <x:c r="B5" s="56" t="str">
        <x:v>Six-month backlog target and capacity</x:v>
      </x:c>
      <x:c r="C5" s="56" t="str">
        <x:v>Does the six-month target include new applications, and what capacity increase is authorised?</x:v>
      </x:c>
      <x:c r="D5" s="56" t="str">
        <x:v>Determines throughput KPI, resource plan, committee workflow, rollout assumptions, and sponsor commitment.</x:v>
      </x:c>
      <x:c r="E5" s="56" t="str">
        <x:v>Hesham; committee owners</x:v>
      </x:c>
      <x:c r="F5" s="56" t="str">
        <x:v>Critical</x:v>
      </x:c>
      <x:c r="G5" s="56" t="str">
        <x:v>Open — clarification not received</x:v>
      </x:c>
      <x:c r="H5" s="56" t="str">
        <x:v>FR-REP-001; FR-REP-002; FR-WF-001; BO-02; BO-04</x:v>
      </x:c>
      <x:c r="I5" s="56" t="str">
        <x:v>Show derived capacity gap; do not claim feasibility.</x:v>
      </x:c>
    </x:row>
    <x:row r="6" ht="78" customHeight="1">
      <x:c r="A6" s="56" t="str">
        <x:v>OI-02</x:v>
      </x:c>
      <x:c r="B6" s="56" t="str">
        <x:v>Inspection requirement and exceptions</x:v>
      </x:c>
      <x:c r="C6" s="56" t="str">
        <x:v>Is site inspection mandatory for every application, and who may authorise exceptions?</x:v>
      </x:c>
      <x:c r="D6" s="56" t="str">
        <x:v>Controls TO-BE process, prioritisation, inspection workload, and any proposed Fast-Track route.</x:v>
      </x:c>
      <x:c r="E6" s="56" t="str">
        <x:v>Mona; Legal; committees</x:v>
      </x:c>
      <x:c r="F6" s="56" t="str">
        <x:v>High</x:v>
      </x:c>
      <x:c r="G6" s="56" t="str">
        <x:v>Open — clarification not received</x:v>
      </x:c>
      <x:c r="H6" s="56" t="str">
        <x:v>FR-FLD-001; FR-WF-001; BO-03</x:v>
      </x:c>
      <x:c r="I6" s="56" t="str">
        <x:v>Inspection remains the baseline; no exception enabled.</x:v>
      </x:c>
    </x:row>
    <x:row r="7" ht="78" customHeight="1">
      <x:c r="A7" s="56" t="str">
        <x:v>OI-03</x:v>
      </x:c>
      <x:c r="B7" s="56" t="str">
        <x:v>Imagery frequency and funding</x:v>
      </x:c>
      <x:c r="C7" s="56" t="str">
        <x:v>Is weekly imagery required, budgeted, and available? Are drones or hotspot imagery acceptable?</x:v>
      </x:c>
      <x:c r="D7" s="56" t="str">
        <x:v>Determines data supply, technical architecture, achievable detection frequency, and delivery cost.</x:v>
      </x:c>
      <x:c r="E7" s="56" t="str">
        <x:v>Hesham; Ahmed; Procurement</x:v>
      </x:c>
      <x:c r="F7" s="56" t="str">
        <x:v>High</x:v>
      </x:c>
      <x:c r="G7" s="56" t="str">
        <x:v>Open — clarification not received</x:v>
      </x:c>
      <x:c r="H7" s="56" t="str">
        <x:v>FR-DET-001; FR-DET-002; FR-DET-003; BO-01</x:v>
      </x:c>
      <x:c r="I7" s="56" t="str">
        <x:v>Use quarterly 50 cm imagery as current baseline; alternatives are proposals.</x:v>
      </x:c>
    </x:row>
    <x:row r="8" ht="78" customHeight="1">
      <x:c r="A8" s="56" t="str">
        <x:v>OI-04</x:v>
      </x:c>
      <x:c r="B8" s="56" t="str">
        <x:v>Coordinate transformation and accuracy</x:v>
      </x:c>
      <x:c r="C8" s="56" t="str">
        <x:v>What coordinate transformation and positional accuracy are approved?</x:v>
      </x:c>
      <x:c r="D8" s="56" t="str">
        <x:v>Layer shifts affect screening, site finding, migration, and trust in spatial results.</x:v>
      </x:c>
      <x:c r="E8" s="56" t="str">
        <x:v>Ahmed; Survey Authority; Walid</x:v>
      </x:c>
      <x:c r="F8" s="56" t="str">
        <x:v>High</x:v>
      </x:c>
      <x:c r="G8" s="56" t="str">
        <x:v>Open — clarification not received</x:v>
      </x:c>
      <x:c r="H8" s="56" t="str">
        <x:v>FR-GIS-001; FR-GIS-004; NFR-010; BO-03</x:v>
      </x:c>
      <x:c r="I8" s="56" t="str">
        <x:v>Preserve CRS metadata; no fixed accuracy target or unapproved transformation.</x:v>
      </x:c>
    </x:row>
    <x:row r="9" ht="78" customHeight="1">
      <x:c r="A9" s="56" t="str">
        <x:v>OI-05</x:v>
      </x:c>
      <x:c r="B9" s="56" t="str">
        <x:v>Tariff approval and rate overrides</x:v>
      </x:c>
      <x:c r="C9" s="56" t="str">
        <x:v>Who approves missing extension-area tariffs and street-specific rate overrides, and with what effective dates?</x:v>
      </x:c>
      <x:c r="D9" s="56" t="str">
        <x:v>Incomplete rates can block billing and create incorrect fee assessments.</x:v>
      </x:c>
      <x:c r="E9" s="56" t="str">
        <x:v>Finance; Pricing Committee</x:v>
      </x:c>
      <x:c r="F9" s="56" t="str">
        <x:v>High</x:v>
      </x:c>
      <x:c r="G9" s="56" t="str">
        <x:v>Open — clarification not received</x:v>
      </x:c>
      <x:c r="H9" s="56" t="str">
        <x:v>FR-FIN-001; FR-FIN-002; FR-FIN-003; FR-FIN-004; US-05; BO-05</x:v>
      </x:c>
      <x:c r="I9" s="56" t="str">
        <x:v>Hold fee finalisation until an authorised rate exists.</x:v>
      </x:c>
    </x:row>
    <x:row r="10" ht="78" customHeight="1">
      <x:c r="A10" s="56" t="str">
        <x:v>OI-06</x:v>
      </x:c>
      <x:c r="B10" s="56" t="str">
        <x:v>Deposit timing and refund treatment</x:v>
      </x:c>
      <x:c r="C10" s="56" t="str">
        <x:v>What is the approved timing and refund treatment of the 25% deposit, especially on rejection or withdrawal?</x:v>
      </x:c>
      <x:c r="D10" s="56" t="str">
        <x:v>Finance says non-refundable while rejected applicants demand refunds; pre-screening/deposit order is not consistently defined.</x:v>
      </x:c>
      <x:c r="E10" s="56" t="str">
        <x:v>Nagwa; Legal; Sponsor</x:v>
      </x:c>
      <x:c r="F10" s="56" t="str">
        <x:v>High</x:v>
      </x:c>
      <x:c r="G10" s="56" t="str">
        <x:v>Open — clarification not received</x:v>
      </x:c>
      <x:c r="H10" s="56" t="str">
        <x:v>FR-FIN-005; FR-APP-003; US-03; BO-05</x:v>
      </x:c>
      <x:c r="I10" s="56" t="str">
        <x:v>Record deposit and refund request; do not auto-refund or auto-deny.</x:v>
      </x:c>
    </x:row>
    <x:row r="11" ht="78" customHeight="1">
      <x:c r="A11" s="56" t="str">
        <x:v>OI-07</x:v>
      </x:c>
      <x:c r="B11" s="56" t="str">
        <x:v>Appeal trigger, evidence, and legal effect</x:v>
      </x:c>
      <x:c r="C11" s="56" t="str">
        <x:v>What event starts the 30-day appeal period, what proves notification, and what is the appeal’s effect on removal?</x:v>
      </x:c>
      <x:c r="D11" s="56" t="str">
        <x:v>Avoids inventing an appeal timer, legal stay, or premature enforcement path.</x:v>
      </x:c>
      <x:c r="E11" s="56" t="str">
        <x:v>Adel; Legal authority; Committee</x:v>
      </x:c>
      <x:c r="F11" s="56" t="str">
        <x:v>High</x:v>
      </x:c>
      <x:c r="G11" s="56" t="str">
        <x:v>Open — clarification not received</x:v>
      </x:c>
      <x:c r="H11" s="56" t="str">
        <x:v>FR-WF-005; FR-WF-006; NFR-006; BO-07</x:v>
      </x:c>
      <x:c r="I11" s="56" t="str">
        <x:v>Capture dates/evidence; no automatic stay or executable timer.</x:v>
      </x:c>
    </x:row>
    <x:row r="12" ht="78" customHeight="1">
      <x:c r="A12" s="56" t="str">
        <x:v>OI-08</x:v>
      </x:c>
      <x:c r="B12" s="56" t="str">
        <x:v>Certificate issuance and arrears</x:v>
      </x:c>
      <x:c r="C12" s="56" t="str">
        <x:v>When can a certificate be issued if fees are paid by instalments, and can arrears change certificate status?</x:v>
      </x:c>
      <x:c r="D12" s="56" t="str">
        <x:v>Affects certificate states, utility checks, finance reports, and applicant communications.</x:v>
      </x:c>
      <x:c r="E12" s="56" t="str">
        <x:v>Nagwa; Adel; Sponsor</x:v>
      </x:c>
      <x:c r="F12" s="56" t="str">
        <x:v>High</x:v>
      </x:c>
      <x:c r="G12" s="56" t="str">
        <x:v>Open — clarification not received</x:v>
      </x:c>
      <x:c r="H12" s="56" t="str">
        <x:v>FR-CERT-001; FR-CERT-002; FR-CERT-003; FR-FIN-006; BO-05; BO-07</x:v>
      </x:c>
      <x:c r="I12" s="56" t="str">
        <x:v>Track payment and certificate status separately; no 60-day suspension rule.</x:v>
      </x:c>
    </x:row>
    <x:row r="13" ht="78" customHeight="1">
      <x:c r="A13" s="56" t="str">
        <x:v>OI-09</x:v>
      </x:c>
      <x:c r="B13" s="56" t="str">
        <x:v>Intake channel and integration scope</x:v>
      </x:c>
      <x:c r="C13" s="56" t="str">
        <x:v>Which intake channel and external integrations are approved (national portal, civil registry, payment provider, utilities)?</x:v>
      </x:c>
      <x:c r="D13" s="56" t="str">
        <x:v>Drives identity verification, data exchange, hosting, security, service accessibility, and cost.</x:v>
      </x:c>
      <x:c r="E13" s="56" t="str">
        <x:v>Hesham; Walid; Ministry; providers; utilities</x:v>
      </x:c>
      <x:c r="F13" s="56" t="str">
        <x:v>High</x:v>
      </x:c>
      <x:c r="G13" s="56" t="str">
        <x:v>Open — clarification not received</x:v>
      </x:c>
      <x:c r="H13" s="56" t="str">
        <x:v>FR-APP-006; FR-CERT-003; NFR-011; NFR-014; BO-06</x:v>
      </x:c>
      <x:c r="I13" s="56" t="str">
        <x:v>Keep external integrations conditional; preserve assisted intake in proposed model.</x:v>
      </x:c>
    </x:row>
    <x:row r="14" ht="78" customHeight="1">
      <x:c r="A14" s="56" t="str">
        <x:v>OI-10</x:v>
      </x:c>
      <x:c r="B14" s="56" t="str">
        <x:v>Backlog versus paper archive population</x:v>
      </x:c>
      <x:c r="C14" s="56" t="str">
        <x:v>Are the 38,000 pending cases and 40,000 paper archive files distinct, overlapping, or differently defined?</x:v>
      </x:c>
      <x:c r="D14" s="56" t="str">
        <x:v>Prevents double counting, migration mistakes, incorrect backlog measures, and under/over-scoping.</x:v>
      </x:c>
      <x:c r="E14" s="56" t="str">
        <x:v>Sayed; Walid; data owners</x:v>
      </x:c>
      <x:c r="F14" s="56" t="str">
        <x:v>High</x:v>
      </x:c>
      <x:c r="G14" s="56" t="str">
        <x:v>Open — clarification not received</x:v>
      </x:c>
      <x:c r="H14" s="56" t="str">
        <x:v>FR-DAT-001; FR-DAT-002; FR-DAT-003; BO-02</x:v>
      </x:c>
      <x:c r="I14" s="56" t="str">
        <x:v>Inventory and reconcile populations before migration.</x:v>
      </x:c>
    </x:row>
    <x:row r="15" ht="78" customHeight="1">
      <x:c r="A15" s="56" t="str">
        <x:v>OI-11</x:v>
      </x:c>
      <x:c r="B15" s="56" t="str">
        <x:v>Field devices and offline operating model</x:v>
      </x:c>
      <x:c r="C15" s="56" t="str">
        <x:v>Which field devices, mobile management, photography rules, offline storage, and support model are permitted?</x:v>
      </x:c>
      <x:c r="D15" s="56" t="str">
        <x:v>Required for an implementable offline workflow and acceptable evidence handling.</x:v>
      </x:c>
      <x:c r="E15" s="56" t="str">
        <x:v>Walid; Mona; GIS; Procurement</x:v>
      </x:c>
      <x:c r="F15" s="56" t="str">
        <x:v>Medium-High</x:v>
      </x:c>
      <x:c r="G15" s="56" t="str">
        <x:v>Open — clarification not received</x:v>
      </x:c>
      <x:c r="H15" s="56" t="str">
        <x:v>FR-FLD-004; FR-FLD-005; NFR-008; NFR-009; BO-06</x:v>
      </x:c>
      <x:c r="I15" s="56" t="str">
        <x:v>Treat offline work as proposed pending proof of concept.</x:v>
      </x:c>
    </x:row>
    <x:row r="16" ht="78" customHeight="1">
      <x:c r="A16" s="56" t="str">
        <x:v>OI-12</x:v>
      </x:c>
      <x:c r="B16" s="56" t="str">
        <x:v>Missing-document routing and resubmission</x:v>
      </x:c>
      <x:c r="C16" s="56" t="str">
        <x:v>Where do incomplete documents return, who receives them, and where does committee review resume?</x:v>
      </x:c>
      <x:c r="D16" s="56" t="str">
        <x:v>Needed for correct loop design, ownership, service status, and user notification.</x:v>
      </x:c>
      <x:c r="E16" s="56" t="str">
        <x:v>Sayed; Committee Secretariat; Legal</x:v>
      </x:c>
      <x:c r="F16" s="56" t="str">
        <x:v>Medium-High</x:v>
      </x:c>
      <x:c r="G16" s="56" t="str">
        <x:v>Open — clarification not received</x:v>
      </x:c>
      <x:c r="H16" s="56" t="str">
        <x:v>FR-WF-003; FR-WF-001; BO-02</x:v>
      </x:c>
      <x:c r="I16" s="56" t="str">
        <x:v>Show provisional route and mark it for confirmation.</x:v>
      </x:c>
    </x:row>
  </x:sheetData>
  <x:mergeCells>
    <x:mergeCell ref="A1:I1"/>
    <x:mergeCell ref="A2:I2"/>
  </x:mergeCells>
  <x:conditionalFormatting sqref="F5:F16">
    <x:cfRule type="expression" dxfId="5" priority="1">
      <x:formula>F5="Critical"</x:formula>
    </x:cfRule>
    <x:cfRule type="expression" dxfId="6" priority="2">
      <x:formula>F5="High"</x:formula>
    </x:cfRule>
    <x:cfRule type="expression" dxfId="7" priority="3">
      <x:formula>F5="Medium-High"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253733529a420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54" hidden="0" customWidth="1"/>
    <x:col min="4" max="4" width="6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Building Violations Detection &amp; Reconciliation System (BVDRS)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4" t="str">
        <x:v>Requirements workbook | Prepared by Muhammad Amjad Karara | Status: Draft for review — not approved baseline</x:v>
      </x:c>
      <x:c r="B2" s="14"/>
      <x:c r="C2" s="14"/>
      <x:c r="D2" s="14"/>
      <x:c r="E2" s="14"/>
      <x:c r="F2" s="14"/>
      <x:c r="G2" s="14"/>
      <x:c r="H2" s="14"/>
    </x:row>
    <x:row r="4" ht="25" customHeight="1">
      <x:c r="A4" s="50" t="str">
        <x:v>Workbook Contents &amp; Quality Gate</x:v>
      </x:c>
      <x:c r="B4" s="50"/>
      <x:c r="C4" s="50"/>
      <x:c r="D4" s="50"/>
      <x:c r="E4" s="50"/>
      <x:c r="F4" s="50"/>
      <x:c r="G4" s="50"/>
      <x:c r="H4" s="50"/>
    </x:row>
    <x:row r="5" ht="36" customHeight="1">
      <x:c r="A5" s="24" t="str">
        <x:v>Sheet</x:v>
      </x:c>
      <x:c r="B5" s="24" t="str">
        <x:v>Purpose</x:v>
      </x:c>
      <x:c r="C5" s="24" t="str">
        <x:v>Main content</x:v>
      </x:c>
      <x:c r="D5" s="24" t="str">
        <x:v>How to use</x:v>
      </x:c>
    </x:row>
    <x:row r="6" ht="54" customHeight="1">
      <x:c r="A6" s="32" t="str">
        <x:v>Requirements Register</x:v>
      </x:c>
      <x:c r="B6" s="32" t="str">
        <x:v>Main requirement source of truth</x:v>
      </x:c>
      <x:c r="C6" s="32" t="str">
        <x:v>42 functional + 14 non-functional requirements</x:v>
      </x:c>
      <x:c r="D6" s="32" t="str">
        <x:v>Filter by module, priority, status, objective, or Open Issue.</x:v>
      </x:c>
    </x:row>
    <x:row r="7" ht="54" customHeight="1">
      <x:c r="A7" s="32" t="str">
        <x:v>Traceability Matrix</x:v>
      </x:c>
      <x:c r="B7" s="32" t="str">
        <x:v>Evidence links</x:v>
      </x:c>
      <x:c r="C7" s="32" t="str">
        <x:v>26 links to business objectives and stakeholder statements</x:v>
      </x:c>
      <x:c r="D7" s="32" t="str">
        <x:v>Use Trace IDs to explain why each requirement exists.</x:v>
      </x:c>
    </x:row>
    <x:row r="8" ht="54" customHeight="1">
      <x:c r="A8" s="32" t="str">
        <x:v>User Stories</x:v>
      </x:c>
      <x:c r="B8" s="32" t="str">
        <x:v>User-centred examples</x:v>
      </x:c>
      <x:c r="C8" s="32" t="str">
        <x:v>5 stories with Given / When / Then criteria</x:v>
      </x:c>
      <x:c r="D8" s="32" t="str">
        <x:v>Use in the defense to explain expected behaviour and testability.</x:v>
      </x:c>
    </x:row>
    <x:row r="9" ht="54" customHeight="1">
      <x:c r="A9" s="32" t="str">
        <x:v>Objectives &amp; KPIs</x:v>
      </x:c>
      <x:c r="B9" s="32" t="str">
        <x:v>Goals, baselines, and capacity math</x:v>
      </x:c>
      <x:c r="C9" s="32" t="str">
        <x:v>7 objectives and an illustrative capacity check</x:v>
      </x:c>
      <x:c r="D9" s="32" t="str">
        <x:v>Capacity outputs depend on OI-01 assumptions and are not an approved operating plan.</x:v>
      </x:c>
    </x:row>
    <x:row r="10" ht="54" customHeight="1">
      <x:c r="A10" s="32" t="str">
        <x:v>Business Rules</x:v>
      </x:c>
      <x:c r="B10" s="32" t="str">
        <x:v>Policy/rule inventory</x:v>
      </x:c>
      <x:c r="C10" s="32" t="str">
        <x:v>16 rules with evidence and status</x:v>
      </x:c>
      <x:c r="D10" s="32" t="str">
        <x:v>Do not configure rules labelled proposed or open until approved.</x:v>
      </x:c>
    </x:row>
    <x:row r="11" ht="54" customHeight="1">
      <x:c r="A11" s="32" t="str">
        <x:v>Open Issues</x:v>
      </x:c>
      <x:c r="B11" s="32" t="str">
        <x:v>Decision log</x:v>
      </x:c>
      <x:c r="C11" s="32" t="str">
        <x:v>12 unresolved questions with owner/priority/interim treatment</x:v>
      </x:c>
      <x:c r="D11" s="32" t="str">
        <x:v>Close or formally accept each issue before a signed-off baseline.</x:v>
      </x:c>
    </x:row>
    <x:row r="14">
      <x:c r="A14" s="52" t="str">
        <x:v>Completeness Snapshot</x:v>
      </x:c>
      <x:c r="B14" s="52"/>
      <x:c r="C14" s="52"/>
      <x:c r="D14" s="52"/>
      <x:c r="E14" s="52"/>
      <x:c r="F14" s="52"/>
      <x:c r="G14" s="52"/>
      <x:c r="H14" s="52"/>
    </x:row>
    <x:row r="15" ht="36" customHeight="1">
      <x:c r="A15" s="24" t="str">
        <x:v>Check</x:v>
      </x:c>
      <x:c r="B15" s="24" t="str">
        <x:v>Count / Status</x:v>
      </x:c>
      <x:c r="D15" s="50" t="str">
        <x:v>Important use notes</x:v>
      </x:c>
      <x:c r="E15" s="50"/>
      <x:c r="F15" s="50"/>
      <x:c r="G15" s="50"/>
      <x:c r="H15" s="50"/>
    </x:row>
    <x:row r="16" ht="36" customHeight="1">
      <x:c r="A16" s="10" t="str">
        <x:v>All requirements</x:v>
      </x:c>
      <x:c r="B16" s="10" t="n">
        <x:f>COUNTA('Requirements Register'!A5:A60)</x:f>
        <x:v>56</x:v>
      </x:c>
      <x:c r="D16" s="54" t="str">
        <x:v>1. The original company assessment is the authority; AI drafts and proposed designs are not automatically approved.</x:v>
      </x:c>
      <x:c r="E16" s="54"/>
      <x:c r="F16" s="54"/>
      <x:c r="G16" s="54"/>
      <x:c r="H16" s="54"/>
    </x:row>
    <x:row r="17" ht="36" customHeight="1">
      <x:c r="A17" s="10" t="str">
        <x:v>Functional requirements (F)</x:v>
      </x:c>
      <x:c r="B17" s="10" t="n">
        <x:f>COUNTIF('Requirements Register'!D5:D60,"F")</x:f>
        <x:v>42</x:v>
      </x:c>
      <x:c r="D17" s="54" t="str">
        <x:v>Priority values for NFRs are provisional BA recommendations, not formal approvals. Numeric performance, capacity, availability and recovery targets require validation; no unconfirmed legal effect is inferred for appeals.</x:v>
      </x:c>
      <x:c r="E17" s="54"/>
      <x:c r="F17" s="54"/>
      <x:c r="G17" s="54"/>
      <x:c r="H17" s="54"/>
    </x:row>
    <x:row r="18" ht="36" customHeight="1">
      <x:c r="A18" s="10" t="str">
        <x:v>Non-functional requirements (NF)</x:v>
      </x:c>
      <x:c r="B18" s="10" t="n">
        <x:f>COUNTIF('Requirements Register'!D5:D60,"NF")</x:f>
        <x:v>14</x:v>
      </x:c>
      <x:c r="D18" s="54" t="str">
        <x:v>3. No legal effect is inferred for an appeal beyond the stated 30-day filing window and formal notice principle.</x:v>
      </x:c>
      <x:c r="E18" s="54"/>
      <x:c r="F18" s="54"/>
      <x:c r="G18" s="54"/>
      <x:c r="H18" s="54"/>
    </x:row>
    <x:row r="19" ht="36" customHeight="1">
      <x:c r="A19" s="10" t="str">
        <x:v>Traceability links</x:v>
      </x:c>
      <x:c r="B19" s="10" t="n">
        <x:f>COUNTA('Traceability Matrix'!A5:A30)</x:f>
        <x:v>26</x:v>
      </x:c>
      <x:c r="D19" s="54" t="str">
        <x:v>Priorities are recommendations for assessment review. Weekly imagery, intake channel, tariff gaps, deposit/refund policy, certificate conditions, integrations and archive scope remain decision points.</x:v>
      </x:c>
      <x:c r="E19" s="54"/>
      <x:c r="F19" s="54"/>
      <x:c r="G19" s="54"/>
      <x:c r="H19" s="54"/>
    </x:row>
    <x:row r="20" ht="36" customHeight="1">
      <x:c r="A20" s="10" t="str">
        <x:v>User stories</x:v>
      </x:c>
      <x:c r="B20" s="10" t="n">
        <x:f>COUNTA('User Stories'!A5:A9)</x:f>
        <x:v>5</x:v>
      </x:c>
      <x:c r="D20" s="54" t="str">
        <x:v>5. Capacity calculations are illustrative and must be defended with their assumptions; a relative capacity gap is not a probability of failure.</x:v>
      </x:c>
      <x:c r="E20" s="54"/>
      <x:c r="F20" s="54"/>
      <x:c r="G20" s="54"/>
      <x:c r="H20" s="54"/>
    </x:row>
    <x:row r="21" ht="24" customHeight="1">
      <x:c r="A21" s="10" t="str">
        <x:v>Business rules</x:v>
      </x:c>
      <x:c r="B21" s="10" t="n">
        <x:f>COUNTA('Business Rules'!A5:A20)</x:f>
        <x:v>16</x:v>
      </x:c>
    </x:row>
    <x:row r="22" ht="24" customHeight="1">
      <x:c r="A22" s="10" t="str">
        <x:v>Open issues</x:v>
      </x:c>
      <x:c r="B22" s="10" t="n">
        <x:f>COUNTA('Open Issues'!A5:A16)</x:f>
        <x:v>12</x:v>
      </x:c>
    </x:row>
  </x:sheetData>
  <x:mergeCells>
    <x:mergeCell ref="A1:H1"/>
    <x:mergeCell ref="A2:H2"/>
    <x:mergeCell ref="A4:H4"/>
    <x:mergeCell ref="A14:H14"/>
    <x:mergeCell ref="D15:H15"/>
    <x:mergeCell ref="D16:H16"/>
    <x:mergeCell ref="D17:H17"/>
    <x:mergeCell ref="D18:H18"/>
    <x:mergeCell ref="D19:H19"/>
    <x:mergeCell ref="D20:H20"/>
  </x:mergeCells>
  <x:pageMargins left="0.7" right="0.7" top="0.75" bottom="0.75" header="0.3" footer="0.3"/>
</x:worksheet>
</file>